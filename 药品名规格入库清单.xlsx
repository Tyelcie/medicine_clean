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ie\github\medicine_clean\"/>
    </mc:Choice>
  </mc:AlternateContent>
  <bookViews>
    <workbookView windowWidth="28800" windowHeight="12375"/>
  </bookViews>
  <sheets>
    <sheet name="Sheet1" sheetId="1" r:id="rId1"/>
  </sheets>
  <definedNames>
    <definedName name="_xlnm._FilterDatabase" localSheetId="0" hidden="1">Sheet1!$A$1:$O$481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<sst xmlns="http://schemas.openxmlformats.org/spreadsheetml/2006/main" count="3418" uniqueCount="721">
  <si>
    <t>id</t>
  </si>
  <si>
    <t>category_id</t>
  </si>
  <si>
    <t>category</t>
  </si>
  <si>
    <t>sub_category</t>
  </si>
  <si>
    <t>serial_number</t>
  </si>
  <si>
    <t>name</t>
  </si>
  <si>
    <t>full_name</t>
  </si>
  <si>
    <t>alias</t>
  </si>
  <si>
    <t>display_unit</t>
  </si>
  <si>
    <t>specification</t>
  </si>
  <si>
    <t>specification_unit</t>
  </si>
  <si>
    <t>manufacturer</t>
  </si>
  <si>
    <t>letter</t>
  </si>
  <si>
    <t>effect</t>
  </si>
  <si>
    <t>note</t>
  </si>
  <si>
    <t>other</t>
  </si>
  <si>
    <t>L-谷氨酰胺呱仑酸钠颗粒</t>
  </si>
  <si>
    <t>袋</t>
  </si>
  <si>
    <t>0.67g/袋</t>
  </si>
  <si>
    <t>g</t>
  </si>
  <si>
    <t>无</t>
  </si>
  <si>
    <t>阿法骨化醇软胶囊</t>
  </si>
  <si>
    <t>粒</t>
  </si>
  <si>
    <t>0.25ug/粒</t>
  </si>
  <si>
    <t>ug</t>
  </si>
  <si>
    <t>hypoglycemic</t>
  </si>
  <si>
    <t>阿卡波糖胶囊</t>
  </si>
  <si>
    <t>50mg/粒</t>
  </si>
  <si>
    <t>mg</t>
  </si>
  <si>
    <t>抑制碳水化合物在小肠的吸收而降低餐后血糖</t>
  </si>
  <si>
    <t>1.常见不良反应为胃肠道反应（如腹胀、排气等） 2.出现低血糖时需使用葡萄糖或蜂蜜，避免进食淀粉类食物纠正低血糖</t>
  </si>
  <si>
    <t>阿卡波糖咀嚼片</t>
  </si>
  <si>
    <t>片</t>
  </si>
  <si>
    <t>50mg/片</t>
  </si>
  <si>
    <t>阿卡波糖片</t>
  </si>
  <si>
    <t>100mg/片</t>
  </si>
  <si>
    <t>antihypertensive</t>
  </si>
  <si>
    <t>阿利沙坦酯片</t>
  </si>
  <si>
    <t>80mg/片</t>
  </si>
  <si>
    <t>240mg/片</t>
  </si>
  <si>
    <t>阿仑膦酸钠片</t>
  </si>
  <si>
    <t>70mg/片</t>
  </si>
  <si>
    <t>阿仑膦酸钠维D3片（II）</t>
  </si>
  <si>
    <t>70mg+5600IU/片</t>
  </si>
  <si>
    <t>阿莫西林胶囊</t>
  </si>
  <si>
    <t>250mg/粒</t>
  </si>
  <si>
    <t>阿莫西林克拉维酸钾分散片</t>
  </si>
  <si>
    <t>0.2285g/片</t>
  </si>
  <si>
    <t>阿普唑仑片</t>
  </si>
  <si>
    <t>0.4mg/片</t>
  </si>
  <si>
    <t>阿齐沙坦片</t>
  </si>
  <si>
    <t>20mg/片</t>
  </si>
  <si>
    <t>40mg/片</t>
  </si>
  <si>
    <t>阿奇霉素片</t>
  </si>
  <si>
    <t>0.25g/片</t>
  </si>
  <si>
    <t>阿司匹林肠溶胶囊</t>
  </si>
  <si>
    <t>75mg/粒</t>
  </si>
  <si>
    <t>100mg/粒</t>
  </si>
  <si>
    <t>阿司匹林肠溶片</t>
  </si>
  <si>
    <t>lipid_lowering</t>
  </si>
  <si>
    <t>阿托伐他汀钙片</t>
  </si>
  <si>
    <t>10mg/片</t>
  </si>
  <si>
    <t>阿昔莫司分散片</t>
  </si>
  <si>
    <t>阿昔莫司胶囊</t>
  </si>
  <si>
    <t>艾瑞昔布片</t>
  </si>
  <si>
    <t>0.1g/片</t>
  </si>
  <si>
    <t>injection</t>
  </si>
  <si>
    <t>glp1</t>
  </si>
  <si>
    <t>艾塞那肽注射液</t>
  </si>
  <si>
    <t>10ug;600ug/支</t>
  </si>
  <si>
    <t>降低血糖，减轻体重等</t>
  </si>
  <si>
    <t>每支笔可注射60次，使用30天；30天后，笔内有余液，也不可用；漏注射可略过本次注射，不可餐后补打</t>
  </si>
  <si>
    <t>5ug;300ug/支</t>
  </si>
  <si>
    <t>艾司唑仑片</t>
  </si>
  <si>
    <t>1mg/片</t>
  </si>
  <si>
    <t>艾托格列净片</t>
  </si>
  <si>
    <t>5mg/片</t>
  </si>
  <si>
    <t>抑制肾脏对葡萄糖的重吸收，降低肾糖阈，从而促进尿糖的排出</t>
  </si>
  <si>
    <t>1.不良反应：泌尿生殖系统感染的风险增加；2.注意外阴卫生（勤洗澡，勤更换内衣）；3.多饮水，每日1500-2000左右</t>
  </si>
  <si>
    <t>氨酚待因片(I)</t>
  </si>
  <si>
    <t>500mg+8.4mg/片</t>
  </si>
  <si>
    <t>氨氯地平阿托伐他汀钙片</t>
  </si>
  <si>
    <t>5mg+10mg/片</t>
  </si>
  <si>
    <t>5mg+20mg/片</t>
  </si>
  <si>
    <t>奥氮平片</t>
  </si>
  <si>
    <t>奥拉西坦胶囊</t>
  </si>
  <si>
    <t>400mg/粒</t>
  </si>
  <si>
    <t>奥利司他胶囊</t>
  </si>
  <si>
    <t>0.12g/粒</t>
  </si>
  <si>
    <t>奥美拉唑肠溶胶囊</t>
  </si>
  <si>
    <t>奥美沙坦酯氨氯地平片</t>
  </si>
  <si>
    <t>20mg+5mg/片</t>
  </si>
  <si>
    <t>奥美沙坦酯片</t>
  </si>
  <si>
    <t>奥美沙坦酯氢氯噻嗪片</t>
  </si>
  <si>
    <t>20mg+12.5mg/片</t>
  </si>
  <si>
    <t>包醛氧淀粉胶囊</t>
  </si>
  <si>
    <t>0.625g/粒</t>
  </si>
  <si>
    <t>贝那鲁肽注射液</t>
  </si>
  <si>
    <t>2.1ml:4.2mg</t>
  </si>
  <si>
    <t>有效控制餐后2小时血糖；无色透明液体，浑浊不可用；每支笔：0.1mg/次可用14天; 0.2mg/次可用7天</t>
  </si>
  <si>
    <t>贝前列素钠片</t>
  </si>
  <si>
    <t>20ug/片</t>
  </si>
  <si>
    <t>40ug/片</t>
  </si>
  <si>
    <t>苯磺酸氨氯地平片</t>
  </si>
  <si>
    <t>苯磺酸美洛加巴林片</t>
  </si>
  <si>
    <t>苯磺酸左氨氯地平片</t>
  </si>
  <si>
    <t>2.5mg/片</t>
  </si>
  <si>
    <t>苯甲酸阿格列汀片</t>
  </si>
  <si>
    <t>25mg/片</t>
  </si>
  <si>
    <t>抑制胰高糖素分泌，以葡萄糖浓度依赖的方式增强胰岛素分泌</t>
  </si>
  <si>
    <t>1.不良反应：鼻咽炎、头痛、上呼吸道感染等;2.禁忌：1型糖尿病、糖尿病酮症酸中毒、孕妇及哺乳期者等;3.单独使用不增加低血糖的风险</t>
  </si>
  <si>
    <t>苯甲酸福格列汀片</t>
  </si>
  <si>
    <t>12mg/片</t>
  </si>
  <si>
    <t>苯溴马隆片</t>
  </si>
  <si>
    <t>苯扎贝特分散片</t>
  </si>
  <si>
    <t>0.2g/片</t>
  </si>
  <si>
    <t>苯扎贝特片</t>
  </si>
  <si>
    <t>吡格列酮二甲双胍片</t>
  </si>
  <si>
    <t>15mg+500mg/片</t>
  </si>
  <si>
    <t>降低空腹血糖、降低大血管并发症的发生率</t>
  </si>
  <si>
    <t>1.不良反应：水肿、体重增加、极少数患者与骨折、HF风险增加有关；2.用药后若发生水肿，可减少钠盐摄入，严重时停药</t>
  </si>
  <si>
    <t>别嘌醇缓释胶囊</t>
  </si>
  <si>
    <t>0.25g/粒</t>
  </si>
  <si>
    <t>丙硫氧嘧啶片</t>
  </si>
  <si>
    <t>琥珀酸亚铁片</t>
  </si>
  <si>
    <t>苏黄止咳胶囊</t>
  </si>
  <si>
    <t>0.45g/粒</t>
  </si>
  <si>
    <t>参乌益肾片</t>
  </si>
  <si>
    <t>0.4g/片</t>
  </si>
  <si>
    <t>多潘立酮片</t>
  </si>
  <si>
    <t>醋酸地塞米松片</t>
  </si>
  <si>
    <t>0.75mg/片</t>
  </si>
  <si>
    <t>醋酸泼尼松片</t>
  </si>
  <si>
    <t>醋酸氢化可的松片</t>
  </si>
  <si>
    <t>达比加群酯胶囊</t>
  </si>
  <si>
    <t>110mg/粒</t>
  </si>
  <si>
    <t>达肝素钠注射液</t>
  </si>
  <si>
    <t>支</t>
  </si>
  <si>
    <t>0.2ml:5000IU/支</t>
  </si>
  <si>
    <t>IU</t>
  </si>
  <si>
    <t>达格列净二甲双胍缓释片(Ⅰ)</t>
  </si>
  <si>
    <t>10mg+1000mg/片</t>
  </si>
  <si>
    <t>可协同降糖，同时减轻体重、降低血压、降低尿酸</t>
  </si>
  <si>
    <t>1.每天应增加饮水量 800~1 000 m；2.注意外阴卫生（勤洗澡，勤更换内衣）； 3.尿酮体阳性++及以上需要及时查明原因，评估是否停药</t>
  </si>
  <si>
    <t>达格列净片</t>
  </si>
  <si>
    <t>单硝酸异山梨酯缓释胶囊</t>
  </si>
  <si>
    <t>单硝酸异山梨酯缓释片</t>
  </si>
  <si>
    <t>60mg/片</t>
  </si>
  <si>
    <t>单硝酸异山梨酯片</t>
  </si>
  <si>
    <t>insulin</t>
  </si>
  <si>
    <t>premixed</t>
  </si>
  <si>
    <t>德谷门冬双胰岛素注射液</t>
  </si>
  <si>
    <t>300IU:3ml/支</t>
  </si>
  <si>
    <t>降低空腹及餐后血糖</t>
  </si>
  <si>
    <t>1.摇匀后注射；2.预防低血糖（血糖&lt;3.9mmol/l）</t>
  </si>
  <si>
    <t>德谷胰岛素利拉鲁肽注射液</t>
  </si>
  <si>
    <t>3ml(300IU:10.8mg)</t>
  </si>
  <si>
    <t>降低空腹和基础血糖，降低体重</t>
  </si>
  <si>
    <t>1.300U德谷胰岛素和10.8mg利拉鲁肽； 2.预防低血糖（血糖&lt;3.9mmol/l）  3.漏注射后马上给药，此后继续每日一 次的常规注射方案（两次相邻注射必须  间隔8小时）</t>
  </si>
  <si>
    <t>long_effect</t>
  </si>
  <si>
    <t>德谷胰岛素注射液</t>
  </si>
  <si>
    <t>降低全天基础血糖</t>
  </si>
  <si>
    <t>预防低血糖（血糖&lt;3.9mmol/l）</t>
  </si>
  <si>
    <t>地高辛片</t>
  </si>
  <si>
    <t>0.25mg/片</t>
  </si>
  <si>
    <t>地特胰岛素注射液</t>
  </si>
  <si>
    <t>丁苯酞软胶囊</t>
  </si>
  <si>
    <t>0.1g/粒</t>
  </si>
  <si>
    <t>度拉糖肽注射液</t>
  </si>
  <si>
    <t>1.5mg:0.5ml</t>
  </si>
  <si>
    <t>漏注射距离下次给药72h以上可补打；距离下次给药少于72h放弃补打；若需要，只要给药超过72h可改变每周给药日期。</t>
  </si>
  <si>
    <t>十味消渴胶囊</t>
  </si>
  <si>
    <t>0.44g/粒</t>
  </si>
  <si>
    <t>稳心颗粒(无蔗糖）</t>
  </si>
  <si>
    <t>5g/袋</t>
  </si>
  <si>
    <t>多格列艾汀</t>
  </si>
  <si>
    <t>复方甲氧那明胶囊</t>
  </si>
  <si>
    <t>25mg+12.5mg+7mg+2mg/粒</t>
  </si>
  <si>
    <t>多糖铁复合物胶囊</t>
  </si>
  <si>
    <t>0.15g/粒</t>
  </si>
  <si>
    <t>磷霉素氨丁三醇散</t>
  </si>
  <si>
    <t>瓶</t>
  </si>
  <si>
    <t>3g/瓶</t>
  </si>
  <si>
    <t>多烯磷脂酰胆碱胶囊</t>
  </si>
  <si>
    <t>228mg/粒</t>
  </si>
  <si>
    <t>厄贝沙坦片</t>
  </si>
  <si>
    <t>0.15g/片</t>
  </si>
  <si>
    <t>75mg/片</t>
  </si>
  <si>
    <t>厄贝沙坦氢氯噻嗪片</t>
  </si>
  <si>
    <t>150mg+12.5mg/片</t>
  </si>
  <si>
    <t>恩格列净片</t>
  </si>
  <si>
    <t>恩替卡韦分散片</t>
  </si>
  <si>
    <t>0.5mg/片</t>
  </si>
  <si>
    <t>二甲双胍恩格列净</t>
  </si>
  <si>
    <t>500mg+5mg/片</t>
  </si>
  <si>
    <t>二甲双胍格列本脲胶囊</t>
  </si>
  <si>
    <t>0.25g+1.25mg/粒</t>
  </si>
  <si>
    <t>促进胰岛素分泌，改善胰岛素抵抗</t>
  </si>
  <si>
    <t>1.注意服药时间与进餐的匹配，避免低血糖的发生；2.低血糖风险相对高，不可随意调整药物剂；3.不宜与格列奈类药物合用</t>
  </si>
  <si>
    <t>二甲双胍格列吡嗪片</t>
  </si>
  <si>
    <t>250mg+2.5mg/片</t>
  </si>
  <si>
    <t>二甲双胍维格列汀片</t>
  </si>
  <si>
    <t>50mg+850mg/片</t>
  </si>
  <si>
    <t>可兼顾空腹血糖和餐后血糖</t>
  </si>
  <si>
    <t>不增加低血糖风险，对体重影响中性或小幅减轻体重，胃肠道不良反应少；禁忌症：二甲双胍使用禁忌者；T1DM、心衰高风险者、该类药物过敏者等</t>
  </si>
  <si>
    <t>非布司他片</t>
  </si>
  <si>
    <t>非洛地平缓释片</t>
  </si>
  <si>
    <t>非那雄胺胶囊</t>
  </si>
  <si>
    <t>5mg/粒</t>
  </si>
  <si>
    <t>非奈利酮</t>
  </si>
  <si>
    <t>非诺贝酸片</t>
  </si>
  <si>
    <t>35mg/片</t>
  </si>
  <si>
    <t>非诺贝特酸胆碱缓释胶囊</t>
  </si>
  <si>
    <t>135mg/粒</t>
  </si>
  <si>
    <t>非诺贝特分散片</t>
  </si>
  <si>
    <t>非诺贝特缓释胶囊</t>
  </si>
  <si>
    <t>非诺贝特胶囊</t>
  </si>
  <si>
    <t>0.2g/粒</t>
  </si>
  <si>
    <t>非诺贝特片</t>
  </si>
  <si>
    <t>非诺贝特片（III）</t>
  </si>
  <si>
    <t>160mg/片</t>
  </si>
  <si>
    <t>呋塞米片</t>
  </si>
  <si>
    <t>伏格列波糖分散片</t>
  </si>
  <si>
    <t>0.2mg/片</t>
  </si>
  <si>
    <t>伏格列波糖胶囊</t>
  </si>
  <si>
    <t>0.2mg/粒</t>
  </si>
  <si>
    <t>伏格列波糖片</t>
  </si>
  <si>
    <t>0.3mg/片</t>
  </si>
  <si>
    <t>伏立康唑片</t>
  </si>
  <si>
    <t>200mg/片</t>
  </si>
  <si>
    <t>氟伐他汀钠缓释片</t>
  </si>
  <si>
    <t>氟伐他汀钠胶囊</t>
  </si>
  <si>
    <t>20mg/粒</t>
  </si>
  <si>
    <t>布洛芬缓释胶囊</t>
  </si>
  <si>
    <t>0.3g/粒</t>
  </si>
  <si>
    <t>氟哌噻吨美利曲辛片</t>
  </si>
  <si>
    <t>0.5mg:10mg/片</t>
  </si>
  <si>
    <t>加巴喷丁胶囊</t>
  </si>
  <si>
    <t>福辛普利钠片</t>
  </si>
  <si>
    <t>辅酶Q10</t>
  </si>
  <si>
    <t>复方α-酮酸片</t>
  </si>
  <si>
    <t>0.63g/片</t>
  </si>
  <si>
    <t>盐酸多奈哌齐片</t>
  </si>
  <si>
    <t>海昆肾喜胶囊</t>
  </si>
  <si>
    <t>0.22g/粒</t>
  </si>
  <si>
    <t>雷公藤多苷片</t>
  </si>
  <si>
    <t>复方血栓通胶囊</t>
  </si>
  <si>
    <t>0.5g/粒</t>
  </si>
  <si>
    <t>复合维生素B片</t>
  </si>
  <si>
    <t>3mg+1.5mg</t>
  </si>
  <si>
    <t>富马酸比索洛尔片</t>
  </si>
  <si>
    <t>甘草酸二铵肠溶胶囊</t>
  </si>
  <si>
    <t>甘精胰岛素利司那肽注射液（Ⅱ）</t>
  </si>
  <si>
    <t>3ml:300IU+150ug</t>
  </si>
  <si>
    <t>1.300单位甘精胰岛素和300μg利司那肽 2.预防低血糖（血糖&lt;3.9mmol/l）3.漏注射后马上给药，此后继续每日一 次的常规注射方案（两次相邻注射必须间隔8小时）</t>
  </si>
  <si>
    <t>甘精胰岛素利司那肽注射液（Ⅰ）</t>
  </si>
  <si>
    <t>3ml:300IU+300ug</t>
  </si>
  <si>
    <t>甘精胰岛素注射液</t>
  </si>
  <si>
    <t>450IU:1.5ml/支</t>
  </si>
  <si>
    <t>格列吡嗪缓释片</t>
  </si>
  <si>
    <t>刺激胰岛β细胞分泌胰岛素；增强胰岛素的敏感性，减少血小板聚集</t>
  </si>
  <si>
    <t>1.注意服药时间与进餐时间的匹配，避免低血糖的发生；2.服药期间不宜饮酒；3.禁用:磺胺类药物过敏史者、1型糖尿病、严重肝肾功能不全、妊娠、哺乳、严重感染、创伤、糖尿病酮症酸中毒、高渗昏迷等</t>
  </si>
  <si>
    <t>格列吡嗪控释片</t>
  </si>
  <si>
    <t>格列吡嗪片</t>
  </si>
  <si>
    <t>格列喹酮分散片</t>
  </si>
  <si>
    <t>30mg/片</t>
  </si>
  <si>
    <t>刺激胰岛β细胞分泌胰岛素，增加胰岛素敏感性</t>
  </si>
  <si>
    <t>1.注意服药时间与进餐时间的匹配，避免低血糖的发生；2.服药期间不宜饮酒；3.适用肾功能受损而肝功能较好的T2DM；4.禁用:磺胺类药物过敏史者、1型糖尿病、严重肝肾功能不全、妊娠、哺乳、严重感染、创伤、糖尿病酮症酸中毒、高渗昏迷等</t>
  </si>
  <si>
    <t>格列喹酮片</t>
  </si>
  <si>
    <t>格列美脲片</t>
  </si>
  <si>
    <t>2mg/片</t>
  </si>
  <si>
    <t>促进胰岛素分泌，减少血小板聚集</t>
  </si>
  <si>
    <t>1.注意服药时间与进餐时间的匹配，避免低血糖的发生；2.服药期间不宜饮酒；3.起效迅速，作用时间长达24h，服用便捷，较少引起较重低血糖；4.禁用:磺胺类药物过敏史者、1型糖尿病、严重肝肾功能不全、妊娠、哺乳、严重感染、创伤、糖尿病酮症酸中毒、高渗昏迷等</t>
  </si>
  <si>
    <t>格列齐特缓释胶囊</t>
  </si>
  <si>
    <t>刺激胰岛素分泌，降低血液黏稠度，减少血小板聚集，改善糖尿病血管并发症</t>
  </si>
  <si>
    <t>格列齐特缓释片</t>
  </si>
  <si>
    <t>格列齐特片</t>
  </si>
  <si>
    <t>枸橼酸铋钾胶囊</t>
  </si>
  <si>
    <t>复方嗜酸乳杆菌片</t>
  </si>
  <si>
    <t>0.5g/片</t>
  </si>
  <si>
    <t>和血明目片</t>
  </si>
  <si>
    <t>0.31g/片</t>
  </si>
  <si>
    <t>盐酸乙哌立松片</t>
  </si>
  <si>
    <t>枸橼酸莫沙必利片</t>
  </si>
  <si>
    <t>枸橼酸氢钾钠颗粒</t>
  </si>
  <si>
    <t>2.5g/袋</t>
  </si>
  <si>
    <t>枸橼酸西地那非片</t>
  </si>
  <si>
    <t>谷胱甘肽片</t>
  </si>
  <si>
    <t>quick_effect</t>
  </si>
  <si>
    <t>谷赖胰岛素注射液</t>
  </si>
  <si>
    <t>降低餐后血糖</t>
  </si>
  <si>
    <t>骨化三醇胶丸</t>
  </si>
  <si>
    <t>骨化三醇软胶囊</t>
  </si>
  <si>
    <t>0.5ug/粒</t>
  </si>
  <si>
    <t>海博麦布片</t>
  </si>
  <si>
    <t>洛索洛芬钠片</t>
  </si>
  <si>
    <t>马来酸依那普利叶酸片</t>
  </si>
  <si>
    <t>10mg+0.4mg/片</t>
  </si>
  <si>
    <t>荷丹胶囊</t>
  </si>
  <si>
    <t>0.33g/粒</t>
  </si>
  <si>
    <t>恒格列净二甲双胍缓释片(I）</t>
  </si>
  <si>
    <t>5mg+500mg/片</t>
  </si>
  <si>
    <t>恒格列净二甲双胍缓释片(II)</t>
  </si>
  <si>
    <t>5mg+1000mg/片</t>
  </si>
  <si>
    <t>沙美特罗替卡松吸入粉雾剂</t>
  </si>
  <si>
    <t>吸</t>
  </si>
  <si>
    <t>50ug+250ug/吸</t>
  </si>
  <si>
    <t>琥珀酸美托洛尔缓释片</t>
  </si>
  <si>
    <t>47.5mg/片</t>
  </si>
  <si>
    <t>甲硝唑片</t>
  </si>
  <si>
    <t>护肝宁片</t>
  </si>
  <si>
    <t>0.35g/片</t>
  </si>
  <si>
    <t>黄葵胶囊</t>
  </si>
  <si>
    <t>0.43g/粒</t>
  </si>
  <si>
    <t>至灵胶囊</t>
  </si>
  <si>
    <t>肌醇烟酸酯片</t>
  </si>
  <si>
    <t>吉非罗齐胶囊</t>
  </si>
  <si>
    <t>己酮可可碱缓释片</t>
  </si>
  <si>
    <t>尼美舒利片</t>
  </si>
  <si>
    <t>甲钴胺分散片</t>
  </si>
  <si>
    <t>甲钴胺胶囊</t>
  </si>
  <si>
    <t>0.5mg/粒</t>
  </si>
  <si>
    <t>甲钴胺片</t>
  </si>
  <si>
    <t>甲磺酸氨氯地平片</t>
  </si>
  <si>
    <t>甲磺酸倍他司汀片</t>
  </si>
  <si>
    <t>6mg/片</t>
  </si>
  <si>
    <t>甲磺酸多沙唑嗪缓释片</t>
  </si>
  <si>
    <t>4mg/片</t>
  </si>
  <si>
    <t>甲磺酸溴隐亭片</t>
  </si>
  <si>
    <t>糖脉康颗粒</t>
  </si>
  <si>
    <t>甲泼尼龙片</t>
  </si>
  <si>
    <t>甲巯咪唑片</t>
  </si>
  <si>
    <t>双歧杆菌活菌胶囊</t>
  </si>
  <si>
    <t>0.35g/粒</t>
  </si>
  <si>
    <t>津力达颗粒</t>
  </si>
  <si>
    <t>9g/袋</t>
  </si>
  <si>
    <t>medium_effect</t>
  </si>
  <si>
    <t>精蛋白人胰岛素注射液</t>
  </si>
  <si>
    <t>降低基础血糖</t>
  </si>
  <si>
    <t>1.摇匀后注射；2.预防低血糖（血糖&lt;3.9mmol/l）3.大腿部注射吸收更加平稳缓慢</t>
  </si>
  <si>
    <t>精蛋白人胰岛素混合注射液（30R)</t>
  </si>
  <si>
    <t>精蛋白人胰岛素混合注射液(50R)</t>
  </si>
  <si>
    <t>精蛋白锌重组赖脯胰岛素混合注射液(25R)</t>
  </si>
  <si>
    <t>精蛋白锌重组赖脯胰岛素混合注射液(50R)</t>
  </si>
  <si>
    <t>精蛋白人胰岛素混合注射液（40R）</t>
  </si>
  <si>
    <t>精制银翘解毒片</t>
  </si>
  <si>
    <t>酒石酸美托洛尔片</t>
  </si>
  <si>
    <t>酒石酸唑吡坦片</t>
  </si>
  <si>
    <t>聚乙二醇洛塞那肽注射液</t>
  </si>
  <si>
    <t>0.5ml:0.1mg/支</t>
  </si>
  <si>
    <t>漏注射距离下次给药72h以上可补打；距离下次给药少于72h放弃补打；两针之间至少间隔3天</t>
  </si>
  <si>
    <t>0.5ml:0.2mg/支</t>
  </si>
  <si>
    <t>卡格列净片</t>
  </si>
  <si>
    <t>卡托普利片</t>
  </si>
  <si>
    <t>卡维地洛片</t>
  </si>
  <si>
    <t>12.5mg/片</t>
  </si>
  <si>
    <t>双歧杆菌乳杆菌三联活菌片</t>
  </si>
  <si>
    <t>坎地沙坦酯片</t>
  </si>
  <si>
    <t>8mg/片</t>
  </si>
  <si>
    <t>考格列汀片</t>
  </si>
  <si>
    <t>拉西地平片</t>
  </si>
  <si>
    <t>赖诺普利氢氯噻嗪片</t>
  </si>
  <si>
    <t>10mg+12.5mg/片</t>
  </si>
  <si>
    <t>兰索拉唑肠溶胶囊</t>
  </si>
  <si>
    <t>兰索拉唑口崩片</t>
  </si>
  <si>
    <t>劳拉西泮片</t>
  </si>
  <si>
    <t>雷贝拉唑钠肠溶胶囊</t>
  </si>
  <si>
    <t>雷贝拉唑钠肠溶片</t>
  </si>
  <si>
    <t>盐酸地尔硫卓片</t>
  </si>
  <si>
    <t>雷米普利片</t>
  </si>
  <si>
    <t>利伐沙班片</t>
  </si>
  <si>
    <t>利格列汀二甲双胍片(Ⅱ)</t>
  </si>
  <si>
    <t>2.5mg+850mg/片</t>
  </si>
  <si>
    <t>利格列汀片</t>
  </si>
  <si>
    <t>利可君片</t>
  </si>
  <si>
    <t>利拉鲁肽注射液</t>
  </si>
  <si>
    <t>3ml:18mg</t>
  </si>
  <si>
    <t>剂量可选0.6mg/1.2mg/1.8mg；剂量可回调；每支笔：0.6mg/次可用30天; 1.2mg/次可用15天;1.8mg/次可用10天</t>
  </si>
  <si>
    <t>利司那肽注射液</t>
  </si>
  <si>
    <t>3ml:0.05mg/ml</t>
  </si>
  <si>
    <t>3ml:0.1mg/ml</t>
  </si>
  <si>
    <t>选最方便的一餐餐前注射，每天同一餐前注射；漏打可下次餐前1h补打；每支笔可注射14次，使用14天</t>
  </si>
  <si>
    <t>养血清脑颗粒</t>
  </si>
  <si>
    <t>4g/粒</t>
  </si>
  <si>
    <t>罗沙司他胶囊</t>
  </si>
  <si>
    <t>磷酸奥司他韦胶囊</t>
  </si>
  <si>
    <t>磷酸西格列汀片</t>
  </si>
  <si>
    <t>硫酸氢氯吡格雷片</t>
  </si>
  <si>
    <t>硫辛酸胶囊</t>
  </si>
  <si>
    <t>硫辛酸片</t>
  </si>
  <si>
    <t>0.3g/片</t>
  </si>
  <si>
    <t>六味五灵片</t>
  </si>
  <si>
    <t>罗格列酮片</t>
  </si>
  <si>
    <t>增加周围组织对胰岛素的敏感性，减轻胰岛素抵抗</t>
  </si>
  <si>
    <t>1.单独应用时不发生低血糖反应；2.禁用：T1DM、糖尿病酮症酸中毒、心功能NYHA3.4级、水肿、肝功能不全、妊娠哺乳者等</t>
  </si>
  <si>
    <t>罗红霉素片</t>
  </si>
  <si>
    <t>150mg/片</t>
  </si>
  <si>
    <t>盐酸氨基葡萄糖片</t>
  </si>
  <si>
    <t>0.24g/片</t>
  </si>
  <si>
    <t>螺内酯片</t>
  </si>
  <si>
    <t>洛伐他汀片</t>
  </si>
  <si>
    <t>头孢克洛颗粒</t>
  </si>
  <si>
    <t>盐酸氨溴索片</t>
  </si>
  <si>
    <t>铝镁匹林片（Ⅱ）</t>
  </si>
  <si>
    <t>81mg+22mg+11mg/片</t>
  </si>
  <si>
    <t>铝碳酸镁片</t>
  </si>
  <si>
    <t>500mg/片</t>
  </si>
  <si>
    <t>氯化钾缓释片</t>
  </si>
  <si>
    <t>氯雷他定片</t>
  </si>
  <si>
    <t>氯沙坦钾片</t>
  </si>
  <si>
    <t>氯沙坦钾氢氯噻嗪片</t>
  </si>
  <si>
    <t>50mg+12.5mg/片</t>
  </si>
  <si>
    <t>100mg+25mg/片</t>
  </si>
  <si>
    <t>马来酸曲美布汀片</t>
  </si>
  <si>
    <t>马来酸依那普利片</t>
  </si>
  <si>
    <t>银杏蜜环口服溶液</t>
  </si>
  <si>
    <t>10ml/支</t>
  </si>
  <si>
    <t>ml</t>
  </si>
  <si>
    <t>马来酸左氨氯地平片</t>
  </si>
  <si>
    <t>玛仕度肽注射液</t>
  </si>
  <si>
    <t>0.5ml:2mg</t>
  </si>
  <si>
    <t>降低空腹和基础血糖，降低体重等</t>
  </si>
  <si>
    <t>遗漏用药2天内尽快补打，并按原计划日期进行下一次用药；遗漏用药2-7天内，尽快补打，并按新的用药日期周期性用药</t>
  </si>
  <si>
    <t>0.5ml:4mg</t>
  </si>
  <si>
    <t>0.5ml:6mg</t>
  </si>
  <si>
    <t>迈之灵片</t>
  </si>
  <si>
    <t>260mg/片</t>
  </si>
  <si>
    <t>脉管复康片</t>
  </si>
  <si>
    <t>0.6g/片</t>
  </si>
  <si>
    <t>门冬氨酸钾镁片</t>
  </si>
  <si>
    <t>0.140g+0.158g/片</t>
  </si>
  <si>
    <t>门冬氨酸鸟氨酸颗粒</t>
  </si>
  <si>
    <t>3g/袋</t>
  </si>
  <si>
    <t>门冬胰岛素30注射液</t>
  </si>
  <si>
    <t>门冬胰岛素50注射液</t>
  </si>
  <si>
    <t>门冬胰岛素注射液</t>
  </si>
  <si>
    <t>蒙脱石散</t>
  </si>
  <si>
    <t>孟鲁司特钠片</t>
  </si>
  <si>
    <t>米格列醇片</t>
  </si>
  <si>
    <t>米格列奈钙片</t>
  </si>
  <si>
    <t>刺激胰岛素的早时相分泌而降低餐后血糖</t>
  </si>
  <si>
    <t>1.起效快，作用时间短，为餐时血糖调节剂，有效降低餐后血糖；2.低血糖风险小；3.不进餐不服药；4.可适用于老年人或有轻度肝肾功能损害者</t>
  </si>
  <si>
    <t>木丹颗粒</t>
  </si>
  <si>
    <t>7g/袋</t>
  </si>
  <si>
    <t>那格列奈片</t>
  </si>
  <si>
    <t>120mg/片</t>
  </si>
  <si>
    <t>脑心通胶囊</t>
  </si>
  <si>
    <t>0.4g/粒</t>
  </si>
  <si>
    <t>尼可地尔片</t>
  </si>
  <si>
    <t>尼麦角林片</t>
  </si>
  <si>
    <t>尼莫地平片</t>
  </si>
  <si>
    <t>布地奈德福莫特罗吸入粉雾剂（Ⅱ）</t>
  </si>
  <si>
    <t>160ug+4.5ug/盒</t>
  </si>
  <si>
    <t>泮托拉唑钠肠溶片</t>
  </si>
  <si>
    <t>培哚普利氨氯地平片(III)</t>
  </si>
  <si>
    <t>10mg+5mg/片</t>
  </si>
  <si>
    <t>精氨酸培哚普利片</t>
  </si>
  <si>
    <t>培哚普利叔丁胺片</t>
  </si>
  <si>
    <t>培哚普利吲达帕胺片</t>
  </si>
  <si>
    <t>4mg+1.25mg/片</t>
  </si>
  <si>
    <t>匹伐他汀钙分散片</t>
  </si>
  <si>
    <t>匹伐他汀钙片</t>
  </si>
  <si>
    <t>脯氨酸恒格列净片</t>
  </si>
  <si>
    <t>脯氨酸加格列净片</t>
  </si>
  <si>
    <t>蒲地蓝消炎口服液</t>
  </si>
  <si>
    <t>普伐他汀钠片</t>
  </si>
  <si>
    <t>普罗布考片</t>
  </si>
  <si>
    <t>0.125g/片</t>
  </si>
  <si>
    <t>普瑞巴林胶囊</t>
  </si>
  <si>
    <t>芪蛭降糖片</t>
  </si>
  <si>
    <t>0.52g</t>
  </si>
  <si>
    <t>芪蛭益肾胶囊</t>
  </si>
  <si>
    <t>0.38g/粒</t>
  </si>
  <si>
    <t>硝酸甘油片</t>
  </si>
  <si>
    <t>羟苯磺酸钙胶囊</t>
  </si>
  <si>
    <t>羟苯磺酸钙片</t>
  </si>
  <si>
    <t>氢氯噻嗪片</t>
  </si>
  <si>
    <t>氢溴酸替格列汀片</t>
  </si>
  <si>
    <t>双氯芬酸二乙胺乳胶剂</t>
  </si>
  <si>
    <t>20g:0.2g/支</t>
  </si>
  <si>
    <t>秋水仙碱片</t>
  </si>
  <si>
    <t>脂必妥胶囊</t>
  </si>
  <si>
    <t>人促红素注射液</t>
  </si>
  <si>
    <t>1ml:10000IU/支</t>
  </si>
  <si>
    <t>1ml:6000IU/支</t>
  </si>
  <si>
    <t>瑞巴派特片</t>
  </si>
  <si>
    <t>瑞格列奈二甲双胍片(Ⅰ)</t>
  </si>
  <si>
    <t>1mg+0.5g/片</t>
  </si>
  <si>
    <t>1.如果对二甲双胍无胃肠道不适反应，考虑在餐前即刻服用；2.不宜与磺脲类药物合用</t>
  </si>
  <si>
    <t>瑞格列奈片</t>
  </si>
  <si>
    <t>磷酸瑞格列汀片</t>
  </si>
  <si>
    <t>瑞舒伐他汀钙胶囊</t>
  </si>
  <si>
    <t>瑞舒伐他汀钙片</t>
  </si>
  <si>
    <t>桑枝总生物碱片</t>
  </si>
  <si>
    <t>沙格列汀二甲双胍缓释片（I）</t>
  </si>
  <si>
    <t>沙格列汀二甲双胍缓释片（III）</t>
  </si>
  <si>
    <t>2.5mg+1000mg/片</t>
  </si>
  <si>
    <t>沙格列汀片</t>
  </si>
  <si>
    <t>1.不可掰开服用;2.不良反应：鼻咽炎、头痛、上呼吸道感染等;3.禁忌：1型糖尿病、糖尿病酮症酸中毒、孕妇及哺乳期者等;4.单独使用不增加低血糖的风险</t>
  </si>
  <si>
    <t>沙库巴曲缬沙坦钠片</t>
  </si>
  <si>
    <t>49mg+51mg/片</t>
  </si>
  <si>
    <t>云南白药胶囊</t>
  </si>
  <si>
    <t>麝香保心丸</t>
  </si>
  <si>
    <t>22.5mg/粒</t>
  </si>
  <si>
    <t>肾衰宁颗粒</t>
  </si>
  <si>
    <t>肾衰宁片</t>
  </si>
  <si>
    <t>0.43g/片</t>
  </si>
  <si>
    <t>short_effect</t>
  </si>
  <si>
    <t>人胰岛素注射液</t>
  </si>
  <si>
    <t>卡马西平片</t>
  </si>
  <si>
    <t>硝酸异山梨酯片</t>
  </si>
  <si>
    <t>舒洛地特软胶囊</t>
  </si>
  <si>
    <t>250LSU/粒</t>
  </si>
  <si>
    <t>LSU</t>
  </si>
  <si>
    <t>双环醇片</t>
  </si>
  <si>
    <t>枸橼酸钾缓释片</t>
  </si>
  <si>
    <t>1.08g/片</t>
  </si>
  <si>
    <t>枸橼酸钾颗粒</t>
  </si>
  <si>
    <t>2g/袋</t>
  </si>
  <si>
    <t>盐酸米诺环素胶囊</t>
  </si>
  <si>
    <t>注射用灯盏花素</t>
  </si>
  <si>
    <t>25mg/支</t>
  </si>
  <si>
    <t>水飞蓟宾胶囊</t>
  </si>
  <si>
    <t>35mg/粒</t>
  </si>
  <si>
    <t>水飞蓟素胶囊</t>
  </si>
  <si>
    <t>140mg/粒</t>
  </si>
  <si>
    <t>司美格鲁肽注射液</t>
  </si>
  <si>
    <t>1.34mg/ml，1.5ml/支</t>
  </si>
  <si>
    <t>遗漏用药后5天内尽快给药；超过5天略过遗漏剂量，按正常计划用药日给药；3ml/支：0.5mg/次可注射8次；1mg/次可注射4次</t>
  </si>
  <si>
    <t>1.34mg/ml，3ml/支</t>
  </si>
  <si>
    <t>0.68mg/ml，1.5ml</t>
  </si>
  <si>
    <t>遗漏用药5天内尽快补打，并按原计划日期进行；下一次用药；遗漏用药超过5天略过不补，按原计划用药日期用药</t>
  </si>
  <si>
    <t>2.27mg/ml，3ml</t>
  </si>
  <si>
    <t>3.2mg/ml，3ml</t>
  </si>
  <si>
    <t>速感宁胶囊</t>
  </si>
  <si>
    <t>他克莫司胶囊</t>
  </si>
  <si>
    <t>1mg/粒</t>
  </si>
  <si>
    <t>碳酸钙D3咀嚼片</t>
  </si>
  <si>
    <t>500mg+200IU/片</t>
  </si>
  <si>
    <t>碳酸钙D3片（Ⅰ）</t>
  </si>
  <si>
    <t>600mg+125IU</t>
  </si>
  <si>
    <t>碳酸镧咀嚼片</t>
  </si>
  <si>
    <t>碳酸氢钠片</t>
  </si>
  <si>
    <t>甲亢灵片</t>
  </si>
  <si>
    <t>0.26g/片</t>
  </si>
  <si>
    <t>碳酸司维拉姆片</t>
  </si>
  <si>
    <t>800mg/片</t>
  </si>
  <si>
    <t>连花清瘟胶囊</t>
  </si>
  <si>
    <t>替勃龙片</t>
  </si>
  <si>
    <t>替尔泊肽注射液</t>
  </si>
  <si>
    <t>0.5ml:2.5mg</t>
  </si>
  <si>
    <t>遗漏用药后4天内尽快补打，并按原计划日期进行下一次用药；遗漏用药超过4天略过不补，按原计划用药日用药</t>
  </si>
  <si>
    <t>0.6ml:10mg</t>
  </si>
  <si>
    <t>0.6ml:5mg</t>
  </si>
  <si>
    <t>0.6ml:7.5mg</t>
  </si>
  <si>
    <t>0.6ml:2.5mg</t>
  </si>
  <si>
    <t>0.5ml:7.5mg</t>
  </si>
  <si>
    <t>替格瑞洛片</t>
  </si>
  <si>
    <t>90mg/片</t>
  </si>
  <si>
    <t>替米沙坦片</t>
  </si>
  <si>
    <t>天丹通络片</t>
  </si>
  <si>
    <t>0.415g</t>
  </si>
  <si>
    <t>天麦消渴片</t>
  </si>
  <si>
    <t>0.12g/片</t>
  </si>
  <si>
    <t>天芪降糖胶囊</t>
  </si>
  <si>
    <t>0.32g/粒</t>
  </si>
  <si>
    <t>通脉降糖胶囊</t>
  </si>
  <si>
    <t>洛芬待因缓释片</t>
  </si>
  <si>
    <t>0.2g+13mg/片</t>
  </si>
  <si>
    <t>清咽滴丸</t>
  </si>
  <si>
    <t>20mg/丸</t>
  </si>
  <si>
    <t>头孢地尼分散片</t>
  </si>
  <si>
    <t>热淋清胶囊</t>
  </si>
  <si>
    <t>头孢丙烯片</t>
  </si>
  <si>
    <t>托伐普坦片</t>
  </si>
  <si>
    <t>15mg/片</t>
  </si>
  <si>
    <t>托拉塞米片</t>
  </si>
  <si>
    <t>维格列汀片</t>
  </si>
  <si>
    <t>维生素B1片</t>
  </si>
  <si>
    <t>维生素B2片</t>
  </si>
  <si>
    <t>维生素B6片</t>
  </si>
  <si>
    <t>维生素C片</t>
  </si>
  <si>
    <t>维生素D滴剂</t>
  </si>
  <si>
    <t>400IU/片</t>
  </si>
  <si>
    <t>诺氟沙星片</t>
  </si>
  <si>
    <t>乌拉地尔缓释胶囊</t>
  </si>
  <si>
    <t>30mg/粒</t>
  </si>
  <si>
    <t>西格列汀二甲双胍片（I）</t>
  </si>
  <si>
    <t>50mg+500mg/片</t>
  </si>
  <si>
    <t>西格列汀二甲双胍片（II）</t>
  </si>
  <si>
    <t>西洛他唑片</t>
  </si>
  <si>
    <t>西尼地平片</t>
  </si>
  <si>
    <t>吸入用布地奈德混悬液</t>
  </si>
  <si>
    <t>2ml：1mg/支</t>
  </si>
  <si>
    <t>多巴丝肼片</t>
  </si>
  <si>
    <t>200mg+50mg/片</t>
  </si>
  <si>
    <t>腺苷钴胺片</t>
  </si>
  <si>
    <t>消渴丸</t>
  </si>
  <si>
    <t>丸</t>
  </si>
  <si>
    <t>0.25g/丸</t>
  </si>
  <si>
    <t>硝苯地平控释片</t>
  </si>
  <si>
    <t>硝苯地平片</t>
  </si>
  <si>
    <t>玉屏风颗粒</t>
  </si>
  <si>
    <t>1.46g/袋</t>
  </si>
  <si>
    <t>缬沙坦氨氯地平片（I）</t>
  </si>
  <si>
    <t>80mg+5mg/片</t>
  </si>
  <si>
    <t>缬沙坦胶囊</t>
  </si>
  <si>
    <t>80mg/粒</t>
  </si>
  <si>
    <t>缬沙坦片</t>
  </si>
  <si>
    <t>缬沙坦氢氯噻嗪片</t>
  </si>
  <si>
    <t>80mg+12.5mg/片</t>
  </si>
  <si>
    <t>辛伐他汀胶囊</t>
  </si>
  <si>
    <t>辛伐他汀片</t>
  </si>
  <si>
    <t>熊去氧胆酸片</t>
  </si>
  <si>
    <t>血塞通软胶囊</t>
  </si>
  <si>
    <t>血脂康胶囊</t>
  </si>
  <si>
    <t>烟酸缓释片</t>
  </si>
  <si>
    <t>烟酸片</t>
  </si>
  <si>
    <t>盐酸阿罗洛尔片</t>
  </si>
  <si>
    <t>甲状腺片</t>
  </si>
  <si>
    <t>茶碱缓释片</t>
  </si>
  <si>
    <t>开塞露（含甘油）</t>
  </si>
  <si>
    <t>20ml/支</t>
  </si>
  <si>
    <t>盐酸胺碘酮注射液</t>
  </si>
  <si>
    <t>0.15g/支</t>
  </si>
  <si>
    <t>盐酸贝那普利片</t>
  </si>
  <si>
    <t>盐酸贝尼地平片</t>
  </si>
  <si>
    <t>盐酸吡格列酮分散片</t>
  </si>
  <si>
    <t>盐酸吡格列酮胶囊</t>
  </si>
  <si>
    <t>15mg/粒</t>
  </si>
  <si>
    <t>盐酸吡格列酮片</t>
  </si>
  <si>
    <t>盐酸克林霉素棕榈酸酯分散片</t>
  </si>
  <si>
    <t>盐酸美西律片</t>
  </si>
  <si>
    <t>盐酸二甲双胍肠溶胶囊</t>
  </si>
  <si>
    <t>减少肝脏葡萄糖的输出，改善外周胰岛素的抵抗</t>
  </si>
  <si>
    <t>1.不良反应：胃肠道异常（恶心/呕吐/腹泻等），长期服用VB12缺乏；2.双胍不影响正常血糖，单独使用不会引起低血糖；3.造影前后48h停用</t>
  </si>
  <si>
    <t>盐酸二甲双胍肠溶片</t>
  </si>
  <si>
    <t>0.85g/片</t>
  </si>
  <si>
    <t>盐酸二甲双胍缓释胶囊</t>
  </si>
  <si>
    <t>盐酸二甲双胍缓释片</t>
  </si>
  <si>
    <t>盐酸二甲双胍片</t>
  </si>
  <si>
    <t>盐酸氟桂利嗪胶囊</t>
  </si>
  <si>
    <t>盐酸金刚烷胺片</t>
  </si>
  <si>
    <t>盐酸乐卡地平片</t>
  </si>
  <si>
    <t>盐酸雷尼替丁胶囊</t>
  </si>
  <si>
    <t>盐酸罗格列酮胶囊</t>
  </si>
  <si>
    <t>4mg/粒</t>
  </si>
  <si>
    <t>盐酸罗格列酮片</t>
  </si>
  <si>
    <t>喉疾灵胶囊</t>
  </si>
  <si>
    <t>盐酸咪达普利片</t>
  </si>
  <si>
    <t>益肾化湿颗粒</t>
  </si>
  <si>
    <t>10g/袋</t>
  </si>
  <si>
    <t>盐酸莫西沙星片</t>
  </si>
  <si>
    <t>盐酸哌唑嗪片</t>
  </si>
  <si>
    <t>盐酸普拉克索片</t>
  </si>
  <si>
    <t>盐酸普罗帕酮片</t>
  </si>
  <si>
    <t>盐酸普萘洛尔片</t>
  </si>
  <si>
    <t>盐酸曲美他嗪缓释片</t>
  </si>
  <si>
    <t>盐酸曲唑酮片</t>
  </si>
  <si>
    <t>对乙酰氨基酚缓释片</t>
  </si>
  <si>
    <t>0.65g/片</t>
  </si>
  <si>
    <t>盐酸坦索罗辛缓释胶囊</t>
  </si>
  <si>
    <t>盐酸特拉唑嗪胶囊</t>
  </si>
  <si>
    <t>盐酸维拉帕米缓释片</t>
  </si>
  <si>
    <t>盐酸西那卡塞片</t>
  </si>
  <si>
    <t>盐酸伊伐布雷定片</t>
  </si>
  <si>
    <t>噻托溴铵粉雾剂</t>
  </si>
  <si>
    <t>18ug/粒</t>
  </si>
  <si>
    <t>盐酸乙酰左卡尼汀片</t>
  </si>
  <si>
    <t>通滞苏润江片</t>
  </si>
  <si>
    <t>0.52g/片</t>
  </si>
  <si>
    <t>叶酸片</t>
  </si>
  <si>
    <t>依柯胰岛素注射液</t>
  </si>
  <si>
    <t>2100IU:3ml</t>
  </si>
  <si>
    <t>1.以10单位的倍数进行剂量调整 2.预防低血糖（血糖&lt;3.9mmol/l）3.遗漏用药3天内尽快补打，并按原计划日期进行下 一次用药；遗漏用药超过3天尽快补打，并按新的用 药日期周期性用药</t>
  </si>
  <si>
    <t>700IU:1ml</t>
  </si>
  <si>
    <t>依洛尤单抗注射液</t>
  </si>
  <si>
    <t>1ml:140mg/支</t>
  </si>
  <si>
    <t>依诺肝素钠注射液</t>
  </si>
  <si>
    <t>0.4ml:4000IU/支</t>
  </si>
  <si>
    <t>依帕司他片</t>
  </si>
  <si>
    <t>依托考昔片</t>
  </si>
  <si>
    <t>依折麦布片</t>
  </si>
  <si>
    <t>胰岛素注射液</t>
  </si>
  <si>
    <t>10ml:400IU</t>
  </si>
  <si>
    <t>胰激肽原酶肠溶片</t>
  </si>
  <si>
    <t>120IU/片</t>
  </si>
  <si>
    <t>60IU/片</t>
  </si>
  <si>
    <t>240IU/片</t>
  </si>
  <si>
    <t>头孢泊肟酯片</t>
  </si>
  <si>
    <t>盐酸阿米替林片</t>
  </si>
  <si>
    <t>银杏酮酯滴丸</t>
  </si>
  <si>
    <t>10mg/丸</t>
  </si>
  <si>
    <t>银杏叶滴丸</t>
  </si>
  <si>
    <t>60mg/丸</t>
  </si>
  <si>
    <t>银杏叶片</t>
  </si>
  <si>
    <t>19.2mg+4.8mg/片</t>
  </si>
  <si>
    <t>银杏叶提取物片</t>
  </si>
  <si>
    <t>吲达帕胺缓释片</t>
  </si>
  <si>
    <t>1.5mg/片</t>
  </si>
  <si>
    <t>吲达帕胺片</t>
  </si>
  <si>
    <t>蚓激酶肠溶胶囊</t>
  </si>
  <si>
    <t>30万单位/粒</t>
  </si>
  <si>
    <t>玉蓝降糖胶囊</t>
  </si>
  <si>
    <t>盐酸沙格雷酯片</t>
  </si>
  <si>
    <t>氟康唑胶囊</t>
  </si>
  <si>
    <t>长春西汀片</t>
  </si>
  <si>
    <t>蔗糖铁注射液</t>
  </si>
  <si>
    <t>5ml:100mg/支</t>
  </si>
  <si>
    <t>脂必泰胶囊</t>
  </si>
  <si>
    <t>0.24g/粒</t>
  </si>
  <si>
    <t>活心丸</t>
  </si>
  <si>
    <t>吸入用异丙托溴铵溶液</t>
  </si>
  <si>
    <t>2ml：500ug/支</t>
  </si>
  <si>
    <t>注射用伏立康唑</t>
  </si>
  <si>
    <t>200mg/支</t>
  </si>
  <si>
    <t>左甲状腺素钠片</t>
  </si>
  <si>
    <t>50ug/片</t>
  </si>
  <si>
    <t>左卡尼汀注射液</t>
  </si>
  <si>
    <t>5ml:1g/支</t>
  </si>
  <si>
    <t>左氧氟沙星片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</si>
</sst>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1"/>
  <sheetViews>
    <sheetView tabSelected="1" workbookViewId="0">
      <selection activeCell="I19" sqref="I19"/>
    </sheetView>
  </sheetViews>
  <sheetFormatPr defaultColWidth="9" defaultRowHeight="13.5"/>
  <cols>
    <col min="3" max="3" width="20.125" customWidth="1"/>
    <col min="4" max="4" width="9" customWidth="1"/>
    <col min="5" max="5" width="11.875" customWidth="1"/>
    <col min="6" max="6" width="21.75" customWidth="1"/>
    <col min="10" max="10" width="12.875" customWidth="1"/>
    <col min="13" max="15" width="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B2">
        <v>4</v>
      </c>
      <c r="C2" t="s">
        <v>15</v>
      </c>
      <c r="F2" t="str">
        <f>G2</f>
        <v>L-谷氨酰胺呱仑酸钠颗粒</v>
      </c>
      <c r="G2" t="s">
        <v>16</v>
      </c>
      <c r="H2"/>
      <c r="I2" t="s">
        <v>17</v>
      </c>
      <c r="J2" t="s">
        <v>18</v>
      </c>
      <c r="K2" t="s">
        <v>19</v>
      </c>
      <c r="L2"/>
      <c r="N2" t="s">
        <v>20</v>
      </c>
      <c r="O2" t="s">
        <v>20</v>
      </c>
    </row>
    <row r="3" spans="1:15">
      <c r="B3">
        <v>4</v>
      </c>
      <c r="C3" t="s">
        <v>15</v>
      </c>
      <c r="F3" t="str">
        <f t="shared" ref="F3:F66" si="0">G3</f>
        <v>阿法骨化醇软胶囊</v>
      </c>
      <c r="G3" t="s">
        <v>21</v>
      </c>
      <c r="H3"/>
      <c r="I3" t="s">
        <v>22</v>
      </c>
      <c r="J3" t="s">
        <v>23</v>
      </c>
      <c r="K3" t="s">
        <v>24</v>
      </c>
      <c r="L3"/>
      <c r="N3" t="s">
        <v>20</v>
      </c>
      <c r="O3" t="s">
        <v>20</v>
      </c>
    </row>
    <row r="4" spans="1:15">
      <c r="B4">
        <v>1</v>
      </c>
      <c r="C4" t="s">
        <v>25</v>
      </c>
      <c r="F4" t="str">
        <f t="shared" si="0"/>
        <v>阿卡波糖胶囊</v>
      </c>
      <c r="G4" t="s">
        <v>26</v>
      </c>
      <c r="H4"/>
      <c r="I4" t="s">
        <v>22</v>
      </c>
      <c r="J4" t="s">
        <v>27</v>
      </c>
      <c r="K4" t="s">
        <v>28</v>
      </c>
      <c r="L4"/>
      <c r="N4" t="s">
        <v>29</v>
      </c>
      <c r="O4" t="s">
        <v>30</v>
      </c>
    </row>
    <row r="5" spans="1:15">
      <c r="B5">
        <v>1</v>
      </c>
      <c r="C5" t="s">
        <v>25</v>
      </c>
      <c r="F5" t="str">
        <f t="shared" si="0"/>
        <v>阿卡波糖咀嚼片</v>
      </c>
      <c r="G5" t="s">
        <v>31</v>
      </c>
      <c r="H5"/>
      <c r="I5" t="s">
        <v>32</v>
      </c>
      <c r="J5" t="s">
        <v>33</v>
      </c>
      <c r="K5" t="s">
        <v>28</v>
      </c>
      <c r="L5"/>
      <c r="N5" t="s">
        <v>29</v>
      </c>
      <c r="O5" t="s">
        <v>30</v>
      </c>
    </row>
    <row r="6" spans="1:15">
      <c r="B6">
        <v>1</v>
      </c>
      <c r="C6" t="s">
        <v>25</v>
      </c>
      <c r="F6" t="str">
        <f t="shared" si="0"/>
        <v>阿卡波糖片</v>
      </c>
      <c r="G6" t="s">
        <v>34</v>
      </c>
      <c r="H6"/>
      <c r="I6" t="s">
        <v>32</v>
      </c>
      <c r="J6" t="s">
        <v>35</v>
      </c>
      <c r="K6" t="s">
        <v>28</v>
      </c>
      <c r="L6"/>
      <c r="N6" t="s">
        <v>29</v>
      </c>
      <c r="O6" t="s">
        <v>30</v>
      </c>
    </row>
    <row r="7" spans="1:15">
      <c r="B7">
        <v>1</v>
      </c>
      <c r="C7" t="s">
        <v>25</v>
      </c>
      <c r="F7" t="str">
        <f t="shared" si="0"/>
        <v>阿卡波糖片</v>
      </c>
      <c r="G7" t="s">
        <v>34</v>
      </c>
      <c r="H7"/>
      <c r="I7" t="s">
        <v>32</v>
      </c>
      <c r="J7" t="s">
        <v>33</v>
      </c>
      <c r="K7" t="s">
        <v>28</v>
      </c>
      <c r="L7"/>
      <c r="N7" t="s">
        <v>29</v>
      </c>
      <c r="O7" t="s">
        <v>30</v>
      </c>
    </row>
    <row r="8" spans="1:15">
      <c r="B8">
        <v>2</v>
      </c>
      <c r="C8" t="s">
        <v>36</v>
      </c>
      <c r="F8" t="str">
        <f t="shared" si="0"/>
        <v>阿利沙坦酯片</v>
      </c>
      <c r="G8" t="s">
        <v>37</v>
      </c>
      <c r="H8"/>
      <c r="I8" t="s">
        <v>32</v>
      </c>
      <c r="J8" t="s">
        <v>38</v>
      </c>
      <c r="K8" t="s">
        <v>28</v>
      </c>
      <c r="L8"/>
      <c r="N8" t="s">
        <v>20</v>
      </c>
      <c r="O8" t="s">
        <v>20</v>
      </c>
    </row>
    <row r="9" spans="1:15">
      <c r="B9">
        <v>2</v>
      </c>
      <c r="C9" t="s">
        <v>36</v>
      </c>
      <c r="F9" t="str">
        <f t="shared" si="0"/>
        <v>阿利沙坦酯片</v>
      </c>
      <c r="G9" t="s">
        <v>37</v>
      </c>
      <c r="H9"/>
      <c r="I9" t="s">
        <v>32</v>
      </c>
      <c r="J9" t="s">
        <v>39</v>
      </c>
      <c r="K9" t="s">
        <v>28</v>
      </c>
      <c r="L9"/>
      <c r="N9" t="s">
        <v>20</v>
      </c>
      <c r="O9" t="s">
        <v>20</v>
      </c>
    </row>
    <row r="10" spans="1:15">
      <c r="B10">
        <v>4</v>
      </c>
      <c r="C10" t="s">
        <v>15</v>
      </c>
      <c r="F10" t="str">
        <f t="shared" si="0"/>
        <v>阿仑膦酸钠片</v>
      </c>
      <c r="G10" t="s">
        <v>40</v>
      </c>
      <c r="H10"/>
      <c r="I10" t="s">
        <v>32</v>
      </c>
      <c r="J10" t="s">
        <v>41</v>
      </c>
      <c r="K10" t="s">
        <v>28</v>
      </c>
      <c r="L10"/>
      <c r="N10" t="s">
        <v>20</v>
      </c>
      <c r="O10" t="s">
        <v>20</v>
      </c>
    </row>
    <row r="11" spans="1:15">
      <c r="B11">
        <v>4</v>
      </c>
      <c r="C11" t="s">
        <v>15</v>
      </c>
      <c r="F11" t="str">
        <f t="shared" si="0"/>
        <v>阿仑膦酸钠维D3片（II）</v>
      </c>
      <c r="G11" t="s">
        <v>42</v>
      </c>
      <c r="H11"/>
      <c r="I11" t="s">
        <v>32</v>
      </c>
      <c r="J11" t="s">
        <v>43</v>
      </c>
      <c r="K11" t="s">
        <v>28</v>
      </c>
      <c r="L11"/>
      <c r="N11" t="s">
        <v>20</v>
      </c>
      <c r="O11" t="s">
        <v>20</v>
      </c>
    </row>
    <row r="12" spans="1:15">
      <c r="B12">
        <v>4</v>
      </c>
      <c r="C12" t="s">
        <v>15</v>
      </c>
      <c r="F12" t="str">
        <f t="shared" si="0"/>
        <v>阿莫西林胶囊</v>
      </c>
      <c r="G12" t="s">
        <v>44</v>
      </c>
      <c r="H12"/>
      <c r="I12" t="s">
        <v>22</v>
      </c>
      <c r="J12" t="s">
        <v>45</v>
      </c>
      <c r="K12" t="s">
        <v>28</v>
      </c>
      <c r="L12"/>
      <c r="N12" t="s">
        <v>20</v>
      </c>
      <c r="O12" t="s">
        <v>20</v>
      </c>
    </row>
    <row r="13" spans="1:15">
      <c r="B13">
        <v>4</v>
      </c>
      <c r="C13" t="s">
        <v>15</v>
      </c>
      <c r="F13" t="str">
        <f t="shared" si="0"/>
        <v>阿莫西林克拉维酸钾分散片</v>
      </c>
      <c r="G13" t="s">
        <v>46</v>
      </c>
      <c r="H13"/>
      <c r="I13" t="s">
        <v>32</v>
      </c>
      <c r="J13" t="s">
        <v>47</v>
      </c>
      <c r="K13" t="s">
        <v>19</v>
      </c>
      <c r="L13"/>
      <c r="N13" t="s">
        <v>20</v>
      </c>
      <c r="O13" t="s">
        <v>20</v>
      </c>
    </row>
    <row r="14" spans="1:15">
      <c r="B14">
        <v>4</v>
      </c>
      <c r="C14" t="s">
        <v>15</v>
      </c>
      <c r="F14" t="str">
        <f t="shared" si="0"/>
        <v>阿普唑仑片</v>
      </c>
      <c r="G14" t="s">
        <v>48</v>
      </c>
      <c r="H14"/>
      <c r="I14" t="s">
        <v>32</v>
      </c>
      <c r="J14" t="s">
        <v>49</v>
      </c>
      <c r="K14" t="s">
        <v>28</v>
      </c>
      <c r="L14"/>
      <c r="N14" t="s">
        <v>20</v>
      </c>
      <c r="O14" t="s">
        <v>20</v>
      </c>
    </row>
    <row r="15" spans="1:15">
      <c r="B15">
        <v>2</v>
      </c>
      <c r="C15" t="s">
        <v>36</v>
      </c>
      <c r="F15" t="str">
        <f t="shared" si="0"/>
        <v>阿齐沙坦片</v>
      </c>
      <c r="G15" t="s">
        <v>50</v>
      </c>
      <c r="H15"/>
      <c r="I15" t="s">
        <v>32</v>
      </c>
      <c r="J15" t="s">
        <v>51</v>
      </c>
      <c r="K15" t="s">
        <v>28</v>
      </c>
      <c r="L15"/>
      <c r="N15" t="s">
        <v>20</v>
      </c>
      <c r="O15" t="s">
        <v>20</v>
      </c>
    </row>
    <row r="16" spans="1:15">
      <c r="B16">
        <v>2</v>
      </c>
      <c r="C16" t="s">
        <v>36</v>
      </c>
      <c r="F16" t="str">
        <f t="shared" si="0"/>
        <v>阿齐沙坦片</v>
      </c>
      <c r="G16" t="s">
        <v>50</v>
      </c>
      <c r="H16"/>
      <c r="I16" t="s">
        <v>32</v>
      </c>
      <c r="J16" t="s">
        <v>52</v>
      </c>
      <c r="K16" t="s">
        <v>28</v>
      </c>
      <c r="L16"/>
      <c r="N16" t="s">
        <v>20</v>
      </c>
      <c r="O16" t="s">
        <v>20</v>
      </c>
    </row>
    <row r="17" spans="2:15">
      <c r="B17">
        <v>4</v>
      </c>
      <c r="C17" t="s">
        <v>15</v>
      </c>
      <c r="F17" t="str">
        <f t="shared" si="0"/>
        <v>阿奇霉素片</v>
      </c>
      <c r="G17" t="s">
        <v>53</v>
      </c>
      <c r="H17"/>
      <c r="I17" t="s">
        <v>32</v>
      </c>
      <c r="J17" t="s">
        <v>54</v>
      </c>
      <c r="K17" t="s">
        <v>19</v>
      </c>
      <c r="L17"/>
      <c r="N17" t="s">
        <v>20</v>
      </c>
      <c r="O17" t="s">
        <v>20</v>
      </c>
    </row>
    <row r="18" spans="2:15">
      <c r="B18">
        <v>4</v>
      </c>
      <c r="C18" t="s">
        <v>15</v>
      </c>
      <c r="F18" t="str">
        <f t="shared" si="0"/>
        <v>阿司匹林肠溶胶囊</v>
      </c>
      <c r="G18" t="s">
        <v>55</v>
      </c>
      <c r="H18"/>
      <c r="I18" t="s">
        <v>22</v>
      </c>
      <c r="J18" t="s">
        <v>56</v>
      </c>
      <c r="K18" t="s">
        <v>28</v>
      </c>
      <c r="L18"/>
      <c r="N18" t="s">
        <v>20</v>
      </c>
      <c r="O18" t="s">
        <v>20</v>
      </c>
    </row>
    <row r="19" spans="2:15">
      <c r="B19">
        <v>4</v>
      </c>
      <c r="C19" t="s">
        <v>15</v>
      </c>
      <c r="F19" t="str">
        <f t="shared" si="0"/>
        <v>阿司匹林肠溶胶囊</v>
      </c>
      <c r="G19" t="s">
        <v>55</v>
      </c>
      <c r="H19"/>
      <c r="I19" t="s">
        <v>22</v>
      </c>
      <c r="J19" t="s">
        <v>57</v>
      </c>
      <c r="K19" t="s">
        <v>28</v>
      </c>
      <c r="L19"/>
      <c r="N19" t="s">
        <v>20</v>
      </c>
      <c r="O19" t="s">
        <v>20</v>
      </c>
    </row>
    <row r="20" spans="2:15">
      <c r="B20">
        <v>4</v>
      </c>
      <c r="C20" t="s">
        <v>15</v>
      </c>
      <c r="F20" t="str">
        <f t="shared" si="0"/>
        <v>阿司匹林肠溶片</v>
      </c>
      <c r="G20" t="s">
        <v>58</v>
      </c>
      <c r="H20"/>
      <c r="I20" t="s">
        <v>32</v>
      </c>
      <c r="J20" t="s">
        <v>35</v>
      </c>
      <c r="K20" t="s">
        <v>28</v>
      </c>
      <c r="L20"/>
      <c r="N20" t="s">
        <v>20</v>
      </c>
      <c r="O20" t="s">
        <v>20</v>
      </c>
    </row>
    <row r="21" spans="2:15">
      <c r="B21">
        <v>3</v>
      </c>
      <c r="C21" t="s">
        <v>59</v>
      </c>
      <c r="F21" t="str">
        <f t="shared" si="0"/>
        <v>阿托伐他汀钙片</v>
      </c>
      <c r="G21" t="s">
        <v>60</v>
      </c>
      <c r="H21"/>
      <c r="I21" t="s">
        <v>32</v>
      </c>
      <c r="J21" t="s">
        <v>52</v>
      </c>
      <c r="K21" t="s">
        <v>28</v>
      </c>
      <c r="N21" t="s">
        <v>20</v>
      </c>
      <c r="O21" t="s">
        <v>20</v>
      </c>
    </row>
    <row r="22" spans="2:15">
      <c r="B22">
        <v>3</v>
      </c>
      <c r="C22" t="s">
        <v>59</v>
      </c>
      <c r="F22" t="str">
        <f t="shared" si="0"/>
        <v>阿托伐他汀钙片</v>
      </c>
      <c r="G22" t="s">
        <v>60</v>
      </c>
      <c r="H22"/>
      <c r="I22" t="s">
        <v>32</v>
      </c>
      <c r="J22" t="s">
        <v>51</v>
      </c>
      <c r="K22" t="s">
        <v>28</v>
      </c>
      <c r="L22"/>
      <c r="N22" t="s">
        <v>20</v>
      </c>
      <c r="O22" t="s">
        <v>20</v>
      </c>
    </row>
    <row r="23" spans="2:15">
      <c r="B23">
        <v>3</v>
      </c>
      <c r="C23" t="s">
        <v>59</v>
      </c>
      <c r="F23" t="str">
        <f t="shared" si="0"/>
        <v>阿托伐他汀钙片</v>
      </c>
      <c r="G23" t="s">
        <v>60</v>
      </c>
      <c r="H23"/>
      <c r="I23" t="s">
        <v>32</v>
      </c>
      <c r="J23" t="s">
        <v>61</v>
      </c>
      <c r="K23" t="s">
        <v>28</v>
      </c>
      <c r="L23"/>
      <c r="N23" t="s">
        <v>20</v>
      </c>
      <c r="O23" t="s">
        <v>20</v>
      </c>
    </row>
    <row r="24" spans="2:15">
      <c r="B24">
        <v>3</v>
      </c>
      <c r="C24" t="s">
        <v>59</v>
      </c>
      <c r="F24" t="str">
        <f t="shared" si="0"/>
        <v>阿昔莫司分散片</v>
      </c>
      <c r="G24" t="s">
        <v>62</v>
      </c>
      <c r="H24"/>
      <c r="I24" t="s">
        <v>32</v>
      </c>
      <c r="J24" t="s">
        <v>54</v>
      </c>
      <c r="K24" t="s">
        <v>19</v>
      </c>
      <c r="L24"/>
      <c r="N24" t="s">
        <v>20</v>
      </c>
      <c r="O24" t="s">
        <v>20</v>
      </c>
    </row>
    <row r="25" spans="2:15">
      <c r="B25">
        <v>3</v>
      </c>
      <c r="C25" t="s">
        <v>59</v>
      </c>
      <c r="F25" t="str">
        <f t="shared" si="0"/>
        <v>阿昔莫司胶囊</v>
      </c>
      <c r="G25" t="s">
        <v>63</v>
      </c>
      <c r="H25"/>
      <c r="I25" t="s">
        <v>22</v>
      </c>
      <c r="J25" t="s">
        <v>54</v>
      </c>
      <c r="K25" t="s">
        <v>19</v>
      </c>
      <c r="N25" t="s">
        <v>20</v>
      </c>
      <c r="O25" t="s">
        <v>20</v>
      </c>
    </row>
    <row r="26" spans="2:15">
      <c r="B26">
        <v>4</v>
      </c>
      <c r="C26" t="s">
        <v>15</v>
      </c>
      <c r="F26" t="str">
        <f t="shared" si="0"/>
        <v>艾瑞昔布片</v>
      </c>
      <c r="G26" t="s">
        <v>64</v>
      </c>
      <c r="H26"/>
      <c r="I26" t="s">
        <v>32</v>
      </c>
      <c r="J26" t="s">
        <v>65</v>
      </c>
      <c r="K26" t="s">
        <v>19</v>
      </c>
      <c r="L26"/>
      <c r="N26" t="s">
        <v>20</v>
      </c>
      <c r="O26" t="s">
        <v>20</v>
      </c>
    </row>
    <row r="27" spans="2:15">
      <c r="B27">
        <v>16</v>
      </c>
      <c r="C27" t="s">
        <v>66</v>
      </c>
      <c r="D27" t="s">
        <v>67</v>
      </c>
      <c r="F27" t="str">
        <f t="shared" si="0"/>
        <v>艾塞那肽注射液</v>
      </c>
      <c r="G27" t="s">
        <v>68</v>
      </c>
      <c r="H27"/>
      <c r="I27" t="s">
        <v>24</v>
      </c>
      <c r="J27" t="s">
        <v>69</v>
      </c>
      <c r="K27" t="s">
        <v>24</v>
      </c>
      <c r="L27"/>
      <c r="N27" t="s">
        <v>70</v>
      </c>
      <c r="O27" t="s">
        <v>71</v>
      </c>
    </row>
    <row r="28" spans="2:15">
      <c r="B28">
        <v>16</v>
      </c>
      <c r="C28" t="s">
        <v>66</v>
      </c>
      <c r="D28" t="s">
        <v>67</v>
      </c>
      <c r="F28" t="str">
        <f t="shared" si="0"/>
        <v>艾塞那肽注射液</v>
      </c>
      <c r="G28" t="s">
        <v>68</v>
      </c>
      <c r="H28"/>
      <c r="I28" t="s">
        <v>24</v>
      </c>
      <c r="J28" t="s">
        <v>72</v>
      </c>
      <c r="K28" t="s">
        <v>24</v>
      </c>
      <c r="L28"/>
      <c r="N28" t="s">
        <v>70</v>
      </c>
      <c r="O28" t="s">
        <v>71</v>
      </c>
    </row>
    <row r="29" spans="2:15">
      <c r="B29">
        <v>4</v>
      </c>
      <c r="C29" t="s">
        <v>15</v>
      </c>
      <c r="F29" t="str">
        <f t="shared" si="0"/>
        <v>艾司唑仑片</v>
      </c>
      <c r="G29" t="s">
        <v>73</v>
      </c>
      <c r="H29"/>
      <c r="I29" t="s">
        <v>32</v>
      </c>
      <c r="J29" t="s">
        <v>74</v>
      </c>
      <c r="K29" t="s">
        <v>28</v>
      </c>
      <c r="L29"/>
      <c r="N29" t="s">
        <v>20</v>
      </c>
      <c r="O29" t="s">
        <v>20</v>
      </c>
    </row>
    <row r="30" spans="2:15">
      <c r="B30">
        <v>1</v>
      </c>
      <c r="C30" t="s">
        <v>25</v>
      </c>
      <c r="F30" t="str">
        <f t="shared" si="0"/>
        <v>艾托格列净片</v>
      </c>
      <c r="G30" t="s">
        <v>75</v>
      </c>
      <c r="H30"/>
      <c r="I30" t="s">
        <v>32</v>
      </c>
      <c r="J30" t="s">
        <v>76</v>
      </c>
      <c r="K30" t="s">
        <v>28</v>
      </c>
      <c r="L30"/>
      <c r="N30" t="s">
        <v>77</v>
      </c>
      <c r="O30" t="s">
        <v>78</v>
      </c>
    </row>
    <row r="31" spans="2:15">
      <c r="B31">
        <v>4</v>
      </c>
      <c r="C31" t="s">
        <v>15</v>
      </c>
      <c r="F31" t="str">
        <f t="shared" si="0"/>
        <v>氨酚待因片(I)</v>
      </c>
      <c r="G31" t="s">
        <v>79</v>
      </c>
      <c r="H31"/>
      <c r="I31" t="s">
        <v>32</v>
      </c>
      <c r="J31" t="s">
        <v>80</v>
      </c>
      <c r="K31" t="s">
        <v>28</v>
      </c>
      <c r="L31"/>
      <c r="N31" t="s">
        <v>20</v>
      </c>
      <c r="O31" t="s">
        <v>20</v>
      </c>
    </row>
    <row r="32" spans="2:15">
      <c r="B32">
        <v>3</v>
      </c>
      <c r="C32" t="s">
        <v>59</v>
      </c>
      <c r="F32" t="str">
        <f t="shared" si="0"/>
        <v>氨氯地平阿托伐他汀钙片</v>
      </c>
      <c r="G32" t="s">
        <v>81</v>
      </c>
      <c r="H32"/>
      <c r="I32" t="s">
        <v>32</v>
      </c>
      <c r="J32" t="s">
        <v>82</v>
      </c>
      <c r="K32" t="s">
        <v>28</v>
      </c>
      <c r="L32"/>
      <c r="N32" t="s">
        <v>20</v>
      </c>
      <c r="O32" t="s">
        <v>20</v>
      </c>
    </row>
    <row r="33" spans="2:15">
      <c r="B33">
        <v>3</v>
      </c>
      <c r="C33" t="s">
        <v>59</v>
      </c>
      <c r="F33" t="str">
        <f t="shared" si="0"/>
        <v>氨氯地平阿托伐他汀钙片</v>
      </c>
      <c r="G33" t="s">
        <v>81</v>
      </c>
      <c r="H33"/>
      <c r="I33" t="s">
        <v>32</v>
      </c>
      <c r="J33" t="s">
        <v>83</v>
      </c>
      <c r="K33" t="s">
        <v>28</v>
      </c>
      <c r="L33"/>
      <c r="N33" t="s">
        <v>20</v>
      </c>
      <c r="O33" t="s">
        <v>20</v>
      </c>
    </row>
    <row r="34" spans="2:15">
      <c r="B34">
        <v>4</v>
      </c>
      <c r="C34" t="s">
        <v>15</v>
      </c>
      <c r="F34" t="str">
        <f t="shared" si="0"/>
        <v>奥氮平片</v>
      </c>
      <c r="G34" t="s">
        <v>84</v>
      </c>
      <c r="H34"/>
      <c r="I34" t="s">
        <v>32</v>
      </c>
      <c r="J34" t="s">
        <v>76</v>
      </c>
      <c r="K34" t="s">
        <v>28</v>
      </c>
      <c r="L34"/>
      <c r="N34" t="s">
        <v>20</v>
      </c>
      <c r="O34" t="s">
        <v>20</v>
      </c>
    </row>
    <row r="35" spans="2:15">
      <c r="B35">
        <v>4</v>
      </c>
      <c r="C35" t="s">
        <v>15</v>
      </c>
      <c r="F35" t="str">
        <f t="shared" si="0"/>
        <v>奥拉西坦胶囊</v>
      </c>
      <c r="G35" t="s">
        <v>85</v>
      </c>
      <c r="H35"/>
      <c r="I35" t="s">
        <v>22</v>
      </c>
      <c r="J35" t="s">
        <v>86</v>
      </c>
      <c r="K35" t="s">
        <v>28</v>
      </c>
      <c r="L35"/>
      <c r="N35" t="s">
        <v>20</v>
      </c>
      <c r="O35" t="s">
        <v>20</v>
      </c>
    </row>
    <row r="36" spans="2:15">
      <c r="B36">
        <v>4</v>
      </c>
      <c r="C36" t="s">
        <v>15</v>
      </c>
      <c r="F36" t="str">
        <f t="shared" si="0"/>
        <v>奥利司他胶囊</v>
      </c>
      <c r="G36" t="s">
        <v>87</v>
      </c>
      <c r="H36"/>
      <c r="I36" t="s">
        <v>22</v>
      </c>
      <c r="J36" t="s">
        <v>88</v>
      </c>
      <c r="K36" t="s">
        <v>19</v>
      </c>
      <c r="L36"/>
      <c r="N36" t="s">
        <v>20</v>
      </c>
      <c r="O36" t="s">
        <v>20</v>
      </c>
    </row>
    <row r="37" spans="2:15">
      <c r="B37">
        <v>4</v>
      </c>
      <c r="C37" t="s">
        <v>15</v>
      </c>
      <c r="F37" t="str">
        <f t="shared" si="0"/>
        <v>奥美拉唑肠溶胶囊</v>
      </c>
      <c r="G37" t="s">
        <v>89</v>
      </c>
      <c r="H37"/>
      <c r="I37" t="s">
        <v>32</v>
      </c>
      <c r="J37" t="s">
        <v>51</v>
      </c>
      <c r="K37" t="s">
        <v>28</v>
      </c>
      <c r="L37"/>
      <c r="N37" t="s">
        <v>20</v>
      </c>
      <c r="O37" t="s">
        <v>20</v>
      </c>
    </row>
    <row r="38" spans="2:15">
      <c r="B38">
        <v>2</v>
      </c>
      <c r="C38" t="s">
        <v>36</v>
      </c>
      <c r="F38" t="str">
        <f t="shared" si="0"/>
        <v>奥美沙坦酯氨氯地平片</v>
      </c>
      <c r="G38" t="s">
        <v>90</v>
      </c>
      <c r="H38"/>
      <c r="I38" t="s">
        <v>32</v>
      </c>
      <c r="J38" t="s">
        <v>91</v>
      </c>
      <c r="K38" t="s">
        <v>28</v>
      </c>
      <c r="L38"/>
      <c r="N38" t="s">
        <v>20</v>
      </c>
      <c r="O38" t="s">
        <v>20</v>
      </c>
    </row>
    <row r="39" spans="2:15">
      <c r="B39">
        <v>2</v>
      </c>
      <c r="C39" t="s">
        <v>36</v>
      </c>
      <c r="F39" t="str">
        <f t="shared" si="0"/>
        <v>奥美沙坦酯片</v>
      </c>
      <c r="G39" t="s">
        <v>92</v>
      </c>
      <c r="H39"/>
      <c r="I39" t="s">
        <v>32</v>
      </c>
      <c r="J39" t="s">
        <v>51</v>
      </c>
      <c r="K39" t="s">
        <v>28</v>
      </c>
      <c r="L39"/>
      <c r="N39" t="s">
        <v>20</v>
      </c>
      <c r="O39" t="s">
        <v>20</v>
      </c>
    </row>
    <row r="40" spans="2:15">
      <c r="B40">
        <v>2</v>
      </c>
      <c r="C40" t="s">
        <v>36</v>
      </c>
      <c r="F40" t="str">
        <f t="shared" si="0"/>
        <v>奥美沙坦酯氢氯噻嗪片</v>
      </c>
      <c r="G40" t="s">
        <v>93</v>
      </c>
      <c r="H40"/>
      <c r="I40" t="s">
        <v>32</v>
      </c>
      <c r="J40" t="s">
        <v>94</v>
      </c>
      <c r="K40" t="s">
        <v>28</v>
      </c>
      <c r="L40"/>
      <c r="N40" t="s">
        <v>20</v>
      </c>
      <c r="O40" t="s">
        <v>20</v>
      </c>
    </row>
    <row r="41" spans="2:15">
      <c r="B41">
        <v>4</v>
      </c>
      <c r="C41" t="s">
        <v>15</v>
      </c>
      <c r="F41" t="str">
        <f t="shared" si="0"/>
        <v>包醛氧淀粉胶囊</v>
      </c>
      <c r="G41" t="s">
        <v>95</v>
      </c>
      <c r="H41"/>
      <c r="I41" t="s">
        <v>22</v>
      </c>
      <c r="J41" t="s">
        <v>96</v>
      </c>
      <c r="K41" t="s">
        <v>19</v>
      </c>
      <c r="L41"/>
      <c r="N41" t="s">
        <v>20</v>
      </c>
      <c r="O41" t="s">
        <v>20</v>
      </c>
    </row>
    <row r="42" spans="2:15">
      <c r="B42">
        <v>16</v>
      </c>
      <c r="C42" t="s">
        <v>66</v>
      </c>
      <c r="D42" t="s">
        <v>67</v>
      </c>
      <c r="F42" t="str">
        <f t="shared" si="0"/>
        <v>贝那鲁肽注射液</v>
      </c>
      <c r="G42" t="s">
        <v>97</v>
      </c>
      <c r="H42"/>
      <c r="I42" t="s">
        <v>28</v>
      </c>
      <c r="J42" t="s">
        <v>98</v>
      </c>
      <c r="K42" t="s">
        <v>28</v>
      </c>
      <c r="N42" t="s">
        <v>70</v>
      </c>
      <c r="O42" t="s">
        <v>99</v>
      </c>
    </row>
    <row r="43" spans="2:15">
      <c r="B43">
        <v>4</v>
      </c>
      <c r="C43" t="s">
        <v>15</v>
      </c>
      <c r="F43" t="str">
        <f t="shared" si="0"/>
        <v>贝前列素钠片</v>
      </c>
      <c r="G43" t="s">
        <v>100</v>
      </c>
      <c r="H43"/>
      <c r="I43" t="s">
        <v>32</v>
      </c>
      <c r="J43" t="s">
        <v>101</v>
      </c>
      <c r="K43" t="s">
        <v>24</v>
      </c>
      <c r="L43"/>
      <c r="N43" t="s">
        <v>20</v>
      </c>
      <c r="O43" t="s">
        <v>20</v>
      </c>
    </row>
    <row r="44" spans="2:15">
      <c r="B44">
        <v>4</v>
      </c>
      <c r="C44" t="s">
        <v>15</v>
      </c>
      <c r="F44" t="str">
        <f t="shared" si="0"/>
        <v>贝前列素钠片</v>
      </c>
      <c r="G44" t="s">
        <v>100</v>
      </c>
      <c r="H44"/>
      <c r="I44" t="s">
        <v>32</v>
      </c>
      <c r="J44" t="s">
        <v>102</v>
      </c>
      <c r="K44" t="s">
        <v>24</v>
      </c>
      <c r="L44"/>
      <c r="N44" t="s">
        <v>20</v>
      </c>
      <c r="O44" t="s">
        <v>20</v>
      </c>
    </row>
    <row r="45" spans="2:15">
      <c r="B45">
        <v>2</v>
      </c>
      <c r="C45" t="s">
        <v>36</v>
      </c>
      <c r="F45" t="str">
        <f t="shared" si="0"/>
        <v>苯磺酸氨氯地平片</v>
      </c>
      <c r="G45" t="s">
        <v>103</v>
      </c>
      <c r="H45"/>
      <c r="I45" t="s">
        <v>32</v>
      </c>
      <c r="J45" t="s">
        <v>76</v>
      </c>
      <c r="K45" t="s">
        <v>28</v>
      </c>
      <c r="L45"/>
      <c r="N45" t="s">
        <v>20</v>
      </c>
      <c r="O45" t="s">
        <v>20</v>
      </c>
    </row>
    <row r="46" spans="2:15">
      <c r="B46">
        <v>2</v>
      </c>
      <c r="C46" t="s">
        <v>36</v>
      </c>
      <c r="F46" t="str">
        <f t="shared" si="0"/>
        <v>苯磺酸氨氯地平片</v>
      </c>
      <c r="G46" t="s">
        <v>103</v>
      </c>
      <c r="H46"/>
      <c r="I46" t="s">
        <v>32</v>
      </c>
      <c r="J46" t="s">
        <v>61</v>
      </c>
      <c r="K46" t="s">
        <v>28</v>
      </c>
      <c r="L46"/>
      <c r="N46" t="s">
        <v>20</v>
      </c>
      <c r="O46" t="s">
        <v>20</v>
      </c>
    </row>
    <row r="47" spans="2:15">
      <c r="B47">
        <v>4</v>
      </c>
      <c r="C47" t="s">
        <v>15</v>
      </c>
      <c r="F47" t="str">
        <f t="shared" si="0"/>
        <v>苯磺酸美洛加巴林片</v>
      </c>
      <c r="G47" t="s">
        <v>104</v>
      </c>
      <c r="H47"/>
      <c r="I47" t="s">
        <v>32</v>
      </c>
      <c r="J47" t="s">
        <v>76</v>
      </c>
      <c r="K47" t="s">
        <v>28</v>
      </c>
      <c r="L47"/>
      <c r="N47" t="s">
        <v>20</v>
      </c>
      <c r="O47" t="s">
        <v>20</v>
      </c>
    </row>
    <row r="48" spans="2:15">
      <c r="B48">
        <v>2</v>
      </c>
      <c r="C48" t="s">
        <v>36</v>
      </c>
      <c r="F48" t="str">
        <f t="shared" si="0"/>
        <v>苯磺酸左氨氯地平片</v>
      </c>
      <c r="G48" t="s">
        <v>105</v>
      </c>
      <c r="H48"/>
      <c r="I48" t="s">
        <v>32</v>
      </c>
      <c r="J48" t="s">
        <v>106</v>
      </c>
      <c r="K48" t="s">
        <v>28</v>
      </c>
      <c r="L48"/>
      <c r="N48" t="s">
        <v>20</v>
      </c>
      <c r="O48" t="s">
        <v>20</v>
      </c>
    </row>
    <row r="49" spans="2:15">
      <c r="B49">
        <v>1</v>
      </c>
      <c r="C49" t="s">
        <v>25</v>
      </c>
      <c r="F49" t="str">
        <f t="shared" si="0"/>
        <v>苯甲酸阿格列汀片</v>
      </c>
      <c r="G49" t="s">
        <v>107</v>
      </c>
      <c r="H49"/>
      <c r="I49" t="s">
        <v>32</v>
      </c>
      <c r="J49" t="s">
        <v>108</v>
      </c>
      <c r="K49" t="s">
        <v>28</v>
      </c>
      <c r="L49"/>
      <c r="N49" t="s">
        <v>109</v>
      </c>
      <c r="O49" t="s">
        <v>110</v>
      </c>
    </row>
    <row r="50" spans="2:15">
      <c r="B50">
        <v>1</v>
      </c>
      <c r="C50" t="s">
        <v>25</v>
      </c>
      <c r="F50" t="str">
        <f t="shared" si="0"/>
        <v>苯甲酸福格列汀片</v>
      </c>
      <c r="G50" t="s">
        <v>111</v>
      </c>
      <c r="H50"/>
      <c r="I50" t="s">
        <v>32</v>
      </c>
      <c r="J50" t="s">
        <v>112</v>
      </c>
      <c r="K50" t="s">
        <v>28</v>
      </c>
      <c r="L50"/>
      <c r="N50" t="s">
        <v>109</v>
      </c>
      <c r="O50" t="s">
        <v>110</v>
      </c>
    </row>
    <row r="51" spans="2:15">
      <c r="B51">
        <v>4</v>
      </c>
      <c r="C51" t="s">
        <v>15</v>
      </c>
      <c r="F51" t="str">
        <f t="shared" si="0"/>
        <v>苯溴马隆片</v>
      </c>
      <c r="G51" t="s">
        <v>113</v>
      </c>
      <c r="H51"/>
      <c r="I51" t="s">
        <v>32</v>
      </c>
      <c r="J51" t="s">
        <v>33</v>
      </c>
      <c r="K51" t="s">
        <v>28</v>
      </c>
      <c r="L51"/>
      <c r="N51" t="s">
        <v>20</v>
      </c>
      <c r="O51" t="s">
        <v>20</v>
      </c>
    </row>
    <row r="52" spans="2:15">
      <c r="B52">
        <v>3</v>
      </c>
      <c r="C52" t="s">
        <v>59</v>
      </c>
      <c r="F52" t="str">
        <f t="shared" si="0"/>
        <v>苯扎贝特分散片</v>
      </c>
      <c r="G52" t="s">
        <v>114</v>
      </c>
      <c r="H52"/>
      <c r="I52" t="s">
        <v>32</v>
      </c>
      <c r="J52" t="s">
        <v>115</v>
      </c>
      <c r="K52" t="s">
        <v>19</v>
      </c>
      <c r="L52"/>
      <c r="N52" t="s">
        <v>20</v>
      </c>
      <c r="O52" t="s">
        <v>20</v>
      </c>
    </row>
    <row r="53" spans="2:15">
      <c r="B53">
        <v>3</v>
      </c>
      <c r="C53" t="s">
        <v>59</v>
      </c>
      <c r="F53" t="str">
        <f t="shared" si="0"/>
        <v>苯扎贝特片</v>
      </c>
      <c r="G53" t="s">
        <v>116</v>
      </c>
      <c r="H53"/>
      <c r="I53" t="s">
        <v>32</v>
      </c>
      <c r="J53" t="s">
        <v>115</v>
      </c>
      <c r="K53" t="s">
        <v>19</v>
      </c>
      <c r="N53" t="s">
        <v>20</v>
      </c>
      <c r="O53" t="s">
        <v>20</v>
      </c>
    </row>
    <row r="54" spans="2:15">
      <c r="B54">
        <v>1</v>
      </c>
      <c r="C54" t="s">
        <v>25</v>
      </c>
      <c r="F54" t="str">
        <f t="shared" si="0"/>
        <v>吡格列酮二甲双胍片</v>
      </c>
      <c r="G54" t="s">
        <v>117</v>
      </c>
      <c r="H54"/>
      <c r="I54" t="s">
        <v>32</v>
      </c>
      <c r="J54" t="s">
        <v>118</v>
      </c>
      <c r="K54" t="s">
        <v>28</v>
      </c>
      <c r="L54"/>
      <c r="N54" t="s">
        <v>119</v>
      </c>
      <c r="O54" t="s">
        <v>120</v>
      </c>
    </row>
    <row r="55" spans="2:15">
      <c r="B55">
        <v>4</v>
      </c>
      <c r="C55" t="s">
        <v>15</v>
      </c>
      <c r="F55" t="str">
        <f t="shared" si="0"/>
        <v>别嘌醇缓释胶囊</v>
      </c>
      <c r="G55" t="s">
        <v>121</v>
      </c>
      <c r="H55"/>
      <c r="I55" t="s">
        <v>22</v>
      </c>
      <c r="J55" t="s">
        <v>122</v>
      </c>
      <c r="K55" t="s">
        <v>19</v>
      </c>
      <c r="L55"/>
      <c r="N55" t="s">
        <v>20</v>
      </c>
      <c r="O55" t="s">
        <v>20</v>
      </c>
    </row>
    <row r="56" spans="2:15">
      <c r="B56">
        <v>4</v>
      </c>
      <c r="C56" t="s">
        <v>15</v>
      </c>
      <c r="F56" t="str">
        <f t="shared" si="0"/>
        <v>丙硫氧嘧啶片</v>
      </c>
      <c r="G56" t="s">
        <v>123</v>
      </c>
      <c r="H56"/>
      <c r="I56" t="s">
        <v>32</v>
      </c>
      <c r="J56" t="s">
        <v>33</v>
      </c>
      <c r="K56" t="s">
        <v>28</v>
      </c>
      <c r="L56"/>
      <c r="N56" t="s">
        <v>20</v>
      </c>
      <c r="O56" t="s">
        <v>20</v>
      </c>
    </row>
    <row r="57" spans="2:15">
      <c r="B57">
        <v>4</v>
      </c>
      <c r="C57" t="s">
        <v>15</v>
      </c>
      <c r="F57" t="str">
        <f t="shared" si="0"/>
        <v>琥珀酸亚铁片</v>
      </c>
      <c r="G57" t="s">
        <v>124</v>
      </c>
      <c r="H57"/>
      <c r="I57" t="s">
        <v>32</v>
      </c>
      <c r="J57" t="s">
        <v>65</v>
      </c>
      <c r="K57" t="s">
        <v>19</v>
      </c>
      <c r="L57"/>
      <c r="N57" t="s">
        <v>20</v>
      </c>
      <c r="O57" t="s">
        <v>20</v>
      </c>
    </row>
    <row r="58" spans="2:15">
      <c r="B58">
        <v>4</v>
      </c>
      <c r="C58" t="s">
        <v>15</v>
      </c>
      <c r="F58" t="str">
        <f t="shared" si="0"/>
        <v>苏黄止咳胶囊</v>
      </c>
      <c r="G58" t="s">
        <v>125</v>
      </c>
      <c r="H58"/>
      <c r="I58" t="s">
        <v>22</v>
      </c>
      <c r="J58" t="s">
        <v>126</v>
      </c>
      <c r="K58" t="s">
        <v>19</v>
      </c>
      <c r="L58"/>
      <c r="N58" t="s">
        <v>20</v>
      </c>
      <c r="O58" t="s">
        <v>20</v>
      </c>
    </row>
    <row r="59" spans="2:15">
      <c r="B59">
        <v>4</v>
      </c>
      <c r="C59" t="s">
        <v>15</v>
      </c>
      <c r="F59" t="str">
        <f t="shared" si="0"/>
        <v>参乌益肾片</v>
      </c>
      <c r="G59" t="s">
        <v>127</v>
      </c>
      <c r="H59"/>
      <c r="I59" t="s">
        <v>32</v>
      </c>
      <c r="J59" t="s">
        <v>128</v>
      </c>
      <c r="K59" t="s">
        <v>19</v>
      </c>
      <c r="L59"/>
      <c r="N59" t="s">
        <v>20</v>
      </c>
      <c r="O59" t="s">
        <v>20</v>
      </c>
    </row>
    <row r="60" spans="2:15">
      <c r="B60">
        <v>4</v>
      </c>
      <c r="C60" t="s">
        <v>15</v>
      </c>
      <c r="F60" t="str">
        <f t="shared" si="0"/>
        <v>多潘立酮片</v>
      </c>
      <c r="G60" t="s">
        <v>129</v>
      </c>
      <c r="H60"/>
      <c r="I60" t="s">
        <v>32</v>
      </c>
      <c r="J60" t="s">
        <v>61</v>
      </c>
      <c r="K60" t="s">
        <v>28</v>
      </c>
      <c r="L60"/>
      <c r="N60" t="s">
        <v>20</v>
      </c>
      <c r="O60" t="s">
        <v>20</v>
      </c>
    </row>
    <row r="61" spans="2:15">
      <c r="B61">
        <v>4</v>
      </c>
      <c r="C61" t="s">
        <v>15</v>
      </c>
      <c r="F61" t="str">
        <f t="shared" si="0"/>
        <v>醋酸地塞米松片</v>
      </c>
      <c r="G61" t="s">
        <v>130</v>
      </c>
      <c r="H61"/>
      <c r="I61" t="s">
        <v>32</v>
      </c>
      <c r="J61" t="s">
        <v>131</v>
      </c>
      <c r="K61" t="s">
        <v>28</v>
      </c>
      <c r="L61"/>
      <c r="N61" t="s">
        <v>20</v>
      </c>
      <c r="O61" t="s">
        <v>20</v>
      </c>
    </row>
    <row r="62" spans="2:15">
      <c r="B62">
        <v>4</v>
      </c>
      <c r="C62" t="s">
        <v>15</v>
      </c>
      <c r="F62" t="str">
        <f t="shared" si="0"/>
        <v>醋酸泼尼松片</v>
      </c>
      <c r="G62" t="s">
        <v>132</v>
      </c>
      <c r="H62"/>
      <c r="I62" t="s">
        <v>32</v>
      </c>
      <c r="J62" t="s">
        <v>76</v>
      </c>
      <c r="K62" t="s">
        <v>28</v>
      </c>
      <c r="L62"/>
      <c r="N62" t="s">
        <v>20</v>
      </c>
      <c r="O62" t="s">
        <v>20</v>
      </c>
    </row>
    <row r="63" spans="2:15">
      <c r="B63">
        <v>4</v>
      </c>
      <c r="C63" t="s">
        <v>15</v>
      </c>
      <c r="F63" t="str">
        <f t="shared" si="0"/>
        <v>醋酸氢化可的松片</v>
      </c>
      <c r="G63" t="s">
        <v>133</v>
      </c>
      <c r="H63"/>
      <c r="I63" t="s">
        <v>32</v>
      </c>
      <c r="J63" t="s">
        <v>51</v>
      </c>
      <c r="K63" t="s">
        <v>28</v>
      </c>
      <c r="L63"/>
      <c r="N63" t="s">
        <v>20</v>
      </c>
      <c r="O63" t="s">
        <v>20</v>
      </c>
    </row>
    <row r="64" spans="2:15">
      <c r="B64">
        <v>4</v>
      </c>
      <c r="C64" t="s">
        <v>15</v>
      </c>
      <c r="F64" t="str">
        <f t="shared" si="0"/>
        <v>达比加群酯胶囊</v>
      </c>
      <c r="G64" t="s">
        <v>134</v>
      </c>
      <c r="H64"/>
      <c r="I64" t="s">
        <v>22</v>
      </c>
      <c r="J64" t="s">
        <v>135</v>
      </c>
      <c r="K64" t="s">
        <v>28</v>
      </c>
      <c r="L64"/>
      <c r="N64" t="s">
        <v>20</v>
      </c>
      <c r="O64" t="s">
        <v>20</v>
      </c>
    </row>
    <row r="65" spans="2:15">
      <c r="B65">
        <v>10</v>
      </c>
      <c r="C65" t="s">
        <v>66</v>
      </c>
      <c r="F65" t="str">
        <f t="shared" si="0"/>
        <v>达肝素钠注射液</v>
      </c>
      <c r="G65" t="s">
        <v>136</v>
      </c>
      <c r="H65"/>
      <c r="I65" t="s">
        <v>137</v>
      </c>
      <c r="J65" t="s">
        <v>138</v>
      </c>
      <c r="K65" t="s">
        <v>139</v>
      </c>
      <c r="L65"/>
      <c r="N65" t="s">
        <v>20</v>
      </c>
      <c r="O65" t="s">
        <v>20</v>
      </c>
    </row>
    <row r="66" spans="2:15">
      <c r="B66">
        <v>1</v>
      </c>
      <c r="C66" t="s">
        <v>25</v>
      </c>
      <c r="F66" t="str">
        <f t="shared" si="0"/>
        <v>达格列净二甲双胍缓释片(Ⅰ)</v>
      </c>
      <c r="G66" t="s">
        <v>140</v>
      </c>
      <c r="H66"/>
      <c r="I66" t="s">
        <v>32</v>
      </c>
      <c r="J66" t="s">
        <v>141</v>
      </c>
      <c r="K66" t="s">
        <v>28</v>
      </c>
      <c r="L66"/>
      <c r="N66" t="s">
        <v>142</v>
      </c>
      <c r="O66" t="s">
        <v>143</v>
      </c>
    </row>
    <row r="67" spans="2:15">
      <c r="B67">
        <v>1</v>
      </c>
      <c r="C67" t="s">
        <v>25</v>
      </c>
      <c r="F67" t="str">
        <f t="shared" ref="F67:F75" si="1">G67</f>
        <v>达格列净片</v>
      </c>
      <c r="G67" t="s">
        <v>144</v>
      </c>
      <c r="H67"/>
      <c r="I67" t="s">
        <v>32</v>
      </c>
      <c r="J67" t="s">
        <v>61</v>
      </c>
      <c r="K67" t="s">
        <v>28</v>
      </c>
      <c r="L67"/>
      <c r="N67" t="s">
        <v>77</v>
      </c>
      <c r="O67" t="s">
        <v>78</v>
      </c>
    </row>
    <row r="68" spans="2:15">
      <c r="B68">
        <v>4</v>
      </c>
      <c r="C68" t="s">
        <v>15</v>
      </c>
      <c r="F68" t="str">
        <f t="shared" si="1"/>
        <v>单硝酸异山梨酯缓释胶囊</v>
      </c>
      <c r="G68" t="s">
        <v>145</v>
      </c>
      <c r="H68"/>
      <c r="I68" t="s">
        <v>22</v>
      </c>
      <c r="J68" t="s">
        <v>27</v>
      </c>
      <c r="K68" t="s">
        <v>28</v>
      </c>
      <c r="L68"/>
      <c r="N68" t="s">
        <v>20</v>
      </c>
      <c r="O68" t="s">
        <v>20</v>
      </c>
    </row>
    <row r="69" spans="2:15">
      <c r="B69">
        <v>4</v>
      </c>
      <c r="C69" t="s">
        <v>15</v>
      </c>
      <c r="F69" t="str">
        <f t="shared" si="1"/>
        <v>单硝酸异山梨酯缓释片</v>
      </c>
      <c r="G69" t="s">
        <v>146</v>
      </c>
      <c r="H69"/>
      <c r="I69" t="s">
        <v>32</v>
      </c>
      <c r="J69" t="s">
        <v>147</v>
      </c>
      <c r="K69" t="s">
        <v>28</v>
      </c>
      <c r="L69"/>
      <c r="N69" t="s">
        <v>20</v>
      </c>
      <c r="O69" t="s">
        <v>20</v>
      </c>
    </row>
    <row r="70" spans="2:15">
      <c r="B70">
        <v>4</v>
      </c>
      <c r="C70" t="s">
        <v>15</v>
      </c>
      <c r="F70" t="str">
        <f t="shared" si="1"/>
        <v>单硝酸异山梨酯片</v>
      </c>
      <c r="G70" t="s">
        <v>148</v>
      </c>
      <c r="H70"/>
      <c r="I70" t="s">
        <v>32</v>
      </c>
      <c r="J70" t="s">
        <v>51</v>
      </c>
      <c r="K70" t="s">
        <v>28</v>
      </c>
      <c r="L70"/>
      <c r="N70" t="s">
        <v>20</v>
      </c>
      <c r="O70" t="s">
        <v>20</v>
      </c>
    </row>
    <row r="71" spans="2:15">
      <c r="B71">
        <v>4</v>
      </c>
      <c r="C71" t="s">
        <v>15</v>
      </c>
      <c r="F71" t="str">
        <f t="shared" si="1"/>
        <v>单硝酸异山梨酯片</v>
      </c>
      <c r="G71" t="s">
        <v>148</v>
      </c>
      <c r="H71"/>
      <c r="I71" t="s">
        <v>32</v>
      </c>
      <c r="J71" t="s">
        <v>61</v>
      </c>
      <c r="K71" t="s">
        <v>28</v>
      </c>
      <c r="L71"/>
      <c r="N71" t="s">
        <v>20</v>
      </c>
      <c r="O71" t="s">
        <v>20</v>
      </c>
    </row>
    <row r="72" spans="2:15">
      <c r="B72">
        <v>13</v>
      </c>
      <c r="C72" t="s">
        <v>149</v>
      </c>
      <c r="D72" t="s">
        <v>150</v>
      </c>
      <c r="F72" t="str">
        <f t="shared" si="1"/>
        <v>德谷门冬双胰岛素注射液</v>
      </c>
      <c r="G72" t="s">
        <v>151</v>
      </c>
      <c r="H72"/>
      <c r="I72" t="s">
        <v>139</v>
      </c>
      <c r="J72" t="s">
        <v>152</v>
      </c>
      <c r="K72" t="s">
        <v>139</v>
      </c>
      <c r="N72" t="s">
        <v>153</v>
      </c>
      <c r="O72" t="s">
        <v>154</v>
      </c>
    </row>
    <row r="73" spans="2:15">
      <c r="B73">
        <v>16</v>
      </c>
      <c r="C73" t="s">
        <v>66</v>
      </c>
      <c r="D73" t="s">
        <v>67</v>
      </c>
      <c r="F73" t="str">
        <f t="shared" si="1"/>
        <v>德谷胰岛素利拉鲁肽注射液</v>
      </c>
      <c r="G73" t="s">
        <v>155</v>
      </c>
      <c r="H73"/>
      <c r="I73" t="s">
        <v>139</v>
      </c>
      <c r="J73" t="s">
        <v>156</v>
      </c>
      <c r="K73" t="s">
        <v>139</v>
      </c>
      <c r="L73"/>
      <c r="N73" t="s">
        <v>157</v>
      </c>
      <c r="O73" t="s">
        <v>158</v>
      </c>
    </row>
    <row r="74" spans="2:15">
      <c r="B74">
        <v>15</v>
      </c>
      <c r="C74" t="s">
        <v>149</v>
      </c>
      <c r="D74" t="s">
        <v>159</v>
      </c>
      <c r="F74" t="str">
        <f t="shared" si="1"/>
        <v>德谷胰岛素注射液</v>
      </c>
      <c r="G74" t="s">
        <v>160</v>
      </c>
      <c r="H74"/>
      <c r="I74" t="s">
        <v>139</v>
      </c>
      <c r="J74" t="s">
        <v>152</v>
      </c>
      <c r="K74" t="s">
        <v>139</v>
      </c>
      <c r="L74"/>
      <c r="N74" t="s">
        <v>161</v>
      </c>
      <c r="O74" t="s">
        <v>162</v>
      </c>
    </row>
    <row r="75" spans="2:15">
      <c r="B75">
        <v>4</v>
      </c>
      <c r="C75" t="s">
        <v>15</v>
      </c>
      <c r="F75" t="str">
        <f t="shared" si="1"/>
        <v>地高辛片</v>
      </c>
      <c r="G75" t="s">
        <v>163</v>
      </c>
      <c r="H75"/>
      <c r="I75" t="s">
        <v>32</v>
      </c>
      <c r="J75" t="s">
        <v>164</v>
      </c>
      <c r="K75" t="s">
        <v>28</v>
      </c>
      <c r="L75"/>
      <c r="N75" t="s">
        <v>20</v>
      </c>
      <c r="O75" t="s">
        <v>20</v>
      </c>
    </row>
    <row r="76" spans="2:15">
      <c r="B76">
        <v>15</v>
      </c>
      <c r="C76" t="s">
        <v>149</v>
      </c>
      <c r="D76" t="s">
        <v>159</v>
      </c>
      <c r="F76" t="str">
        <f t="shared" ref="F76:F132" si="2">G76</f>
        <v>地特胰岛素注射液</v>
      </c>
      <c r="G76" t="s">
        <v>165</v>
      </c>
      <c r="H76"/>
      <c r="I76" t="s">
        <v>139</v>
      </c>
      <c r="J76" t="s">
        <v>152</v>
      </c>
      <c r="K76" t="s">
        <v>139</v>
      </c>
      <c r="L76"/>
      <c r="N76" t="s">
        <v>161</v>
      </c>
      <c r="O76" t="s">
        <v>162</v>
      </c>
    </row>
    <row r="77" spans="2:15">
      <c r="B77">
        <v>4</v>
      </c>
      <c r="C77" t="s">
        <v>15</v>
      </c>
      <c r="F77" t="str">
        <f t="shared" si="2"/>
        <v>丁苯酞软胶囊</v>
      </c>
      <c r="G77" t="s">
        <v>166</v>
      </c>
      <c r="H77"/>
      <c r="I77" t="s">
        <v>22</v>
      </c>
      <c r="J77" t="s">
        <v>167</v>
      </c>
      <c r="K77" t="s">
        <v>19</v>
      </c>
      <c r="L77"/>
      <c r="N77" t="s">
        <v>20</v>
      </c>
      <c r="O77" t="s">
        <v>20</v>
      </c>
    </row>
    <row r="78" spans="2:15">
      <c r="B78">
        <v>16</v>
      </c>
      <c r="C78" t="s">
        <v>66</v>
      </c>
      <c r="D78" t="s">
        <v>67</v>
      </c>
      <c r="F78" t="str">
        <f t="shared" si="2"/>
        <v>度拉糖肽注射液</v>
      </c>
      <c r="G78" t="s">
        <v>168</v>
      </c>
      <c r="H78"/>
      <c r="I78" t="s">
        <v>28</v>
      </c>
      <c r="J78" t="s">
        <v>169</v>
      </c>
      <c r="K78" t="s">
        <v>28</v>
      </c>
      <c r="L78"/>
      <c r="N78" t="s">
        <v>70</v>
      </c>
      <c r="O78" t="s">
        <v>170</v>
      </c>
    </row>
    <row r="79" spans="2:15">
      <c r="B79">
        <v>4</v>
      </c>
      <c r="C79" t="s">
        <v>15</v>
      </c>
      <c r="F79" t="str">
        <f t="shared" si="2"/>
        <v>十味消渴胶囊</v>
      </c>
      <c r="G79" t="s">
        <v>171</v>
      </c>
      <c r="H79"/>
      <c r="I79" t="s">
        <v>22</v>
      </c>
      <c r="J79" t="s">
        <v>172</v>
      </c>
      <c r="K79" t="s">
        <v>19</v>
      </c>
      <c r="L79"/>
      <c r="N79" t="s">
        <v>20</v>
      </c>
      <c r="O79" t="s">
        <v>20</v>
      </c>
    </row>
    <row r="80" spans="2:15">
      <c r="B80">
        <v>4</v>
      </c>
      <c r="C80" t="s">
        <v>15</v>
      </c>
      <c r="F80" t="str">
        <f t="shared" si="2"/>
        <v>稳心颗粒(无蔗糖）</v>
      </c>
      <c r="G80" t="s">
        <v>173</v>
      </c>
      <c r="H80"/>
      <c r="I80" t="s">
        <v>17</v>
      </c>
      <c r="J80" t="s">
        <v>174</v>
      </c>
      <c r="K80" t="s">
        <v>19</v>
      </c>
      <c r="L80"/>
      <c r="N80" t="s">
        <v>20</v>
      </c>
      <c r="O80" t="s">
        <v>20</v>
      </c>
    </row>
    <row r="81" spans="2:15">
      <c r="B81">
        <v>1</v>
      </c>
      <c r="C81" t="s">
        <v>25</v>
      </c>
      <c r="F81" t="str">
        <f t="shared" si="2"/>
        <v>多格列艾汀</v>
      </c>
      <c r="G81" t="s">
        <v>175</v>
      </c>
      <c r="H81"/>
      <c r="I81" t="s">
        <v>22</v>
      </c>
      <c r="J81" t="s">
        <v>56</v>
      </c>
      <c r="K81" t="s">
        <v>28</v>
      </c>
      <c r="L81"/>
      <c r="N81" t="s">
        <v>109</v>
      </c>
      <c r="O81" t="s">
        <v>110</v>
      </c>
    </row>
    <row r="82" spans="2:15">
      <c r="B82">
        <v>4</v>
      </c>
      <c r="C82" t="s">
        <v>15</v>
      </c>
      <c r="F82" t="str">
        <f t="shared" si="2"/>
        <v>复方甲氧那明胶囊</v>
      </c>
      <c r="G82" t="s">
        <v>176</v>
      </c>
      <c r="H82"/>
      <c r="I82" t="s">
        <v>22</v>
      </c>
      <c r="J82" t="s">
        <v>177</v>
      </c>
      <c r="K82" t="s">
        <v>28</v>
      </c>
      <c r="L82"/>
      <c r="N82" t="s">
        <v>20</v>
      </c>
      <c r="O82" t="s">
        <v>20</v>
      </c>
    </row>
    <row r="83" spans="2:15">
      <c r="B83">
        <v>4</v>
      </c>
      <c r="C83" t="s">
        <v>15</v>
      </c>
      <c r="F83" t="str">
        <f t="shared" si="2"/>
        <v>多糖铁复合物胶囊</v>
      </c>
      <c r="G83" t="s">
        <v>178</v>
      </c>
      <c r="H83"/>
      <c r="I83" t="s">
        <v>22</v>
      </c>
      <c r="J83" t="s">
        <v>179</v>
      </c>
      <c r="K83" t="s">
        <v>19</v>
      </c>
      <c r="L83"/>
      <c r="N83" t="s">
        <v>20</v>
      </c>
      <c r="O83" t="s">
        <v>20</v>
      </c>
    </row>
    <row r="84" spans="2:15">
      <c r="B84">
        <v>4</v>
      </c>
      <c r="C84" t="s">
        <v>15</v>
      </c>
      <c r="F84" t="str">
        <f t="shared" si="2"/>
        <v>磷霉素氨丁三醇散</v>
      </c>
      <c r="G84" t="s">
        <v>180</v>
      </c>
      <c r="H84"/>
      <c r="I84" t="s">
        <v>181</v>
      </c>
      <c r="J84" t="s">
        <v>182</v>
      </c>
      <c r="K84" t="s">
        <v>19</v>
      </c>
      <c r="L84"/>
      <c r="N84" t="s">
        <v>20</v>
      </c>
      <c r="O84" t="s">
        <v>20</v>
      </c>
    </row>
    <row r="85" spans="2:15">
      <c r="B85">
        <v>4</v>
      </c>
      <c r="C85" t="s">
        <v>15</v>
      </c>
      <c r="F85" t="str">
        <f t="shared" si="2"/>
        <v>多烯磷脂酰胆碱胶囊</v>
      </c>
      <c r="G85" t="s">
        <v>183</v>
      </c>
      <c r="H85"/>
      <c r="I85" t="s">
        <v>22</v>
      </c>
      <c r="J85" t="s">
        <v>184</v>
      </c>
      <c r="K85" t="s">
        <v>28</v>
      </c>
      <c r="L85"/>
      <c r="N85" t="s">
        <v>20</v>
      </c>
      <c r="O85" t="s">
        <v>20</v>
      </c>
    </row>
    <row r="86" spans="2:15">
      <c r="B86">
        <v>2</v>
      </c>
      <c r="C86" t="s">
        <v>36</v>
      </c>
      <c r="F86" t="str">
        <f t="shared" si="2"/>
        <v>厄贝沙坦片</v>
      </c>
      <c r="G86" t="s">
        <v>185</v>
      </c>
      <c r="H86"/>
      <c r="I86" t="s">
        <v>32</v>
      </c>
      <c r="J86" t="s">
        <v>186</v>
      </c>
      <c r="K86" t="s">
        <v>19</v>
      </c>
      <c r="L86"/>
      <c r="N86" t="s">
        <v>20</v>
      </c>
      <c r="O86" t="s">
        <v>20</v>
      </c>
    </row>
    <row r="87" spans="2:15">
      <c r="B87">
        <v>2</v>
      </c>
      <c r="C87" t="s">
        <v>36</v>
      </c>
      <c r="F87" t="str">
        <f t="shared" si="2"/>
        <v>厄贝沙坦片</v>
      </c>
      <c r="G87" t="s">
        <v>185</v>
      </c>
      <c r="H87"/>
      <c r="I87" t="s">
        <v>32</v>
      </c>
      <c r="J87" t="s">
        <v>187</v>
      </c>
      <c r="K87" t="s">
        <v>28</v>
      </c>
      <c r="L87"/>
      <c r="N87" t="s">
        <v>20</v>
      </c>
      <c r="O87" t="s">
        <v>20</v>
      </c>
    </row>
    <row r="88" spans="2:15">
      <c r="B88">
        <v>2</v>
      </c>
      <c r="C88" t="s">
        <v>36</v>
      </c>
      <c r="F88" t="str">
        <f t="shared" si="2"/>
        <v>厄贝沙坦氢氯噻嗪片</v>
      </c>
      <c r="G88" t="s">
        <v>188</v>
      </c>
      <c r="H88"/>
      <c r="I88" t="s">
        <v>32</v>
      </c>
      <c r="J88" t="s">
        <v>189</v>
      </c>
      <c r="K88" t="s">
        <v>28</v>
      </c>
      <c r="L88"/>
      <c r="N88" t="s">
        <v>20</v>
      </c>
      <c r="O88" t="s">
        <v>20</v>
      </c>
    </row>
    <row r="89" spans="2:15">
      <c r="B89">
        <v>1</v>
      </c>
      <c r="C89" t="s">
        <v>25</v>
      </c>
      <c r="F89" t="str">
        <f t="shared" si="2"/>
        <v>恩格列净片</v>
      </c>
      <c r="G89" t="s">
        <v>190</v>
      </c>
      <c r="H89"/>
      <c r="I89" t="s">
        <v>32</v>
      </c>
      <c r="J89" t="s">
        <v>61</v>
      </c>
      <c r="K89" t="s">
        <v>28</v>
      </c>
      <c r="L89"/>
      <c r="N89" t="s">
        <v>77</v>
      </c>
      <c r="O89" t="s">
        <v>78</v>
      </c>
    </row>
    <row r="90" spans="2:15">
      <c r="B90">
        <v>1</v>
      </c>
      <c r="C90" t="s">
        <v>25</v>
      </c>
      <c r="F90" t="str">
        <f t="shared" si="2"/>
        <v>恩格列净片</v>
      </c>
      <c r="G90" t="s">
        <v>190</v>
      </c>
      <c r="H90"/>
      <c r="I90" t="s">
        <v>32</v>
      </c>
      <c r="J90" t="s">
        <v>108</v>
      </c>
      <c r="K90" t="s">
        <v>28</v>
      </c>
      <c r="L90"/>
      <c r="N90" t="s">
        <v>77</v>
      </c>
      <c r="O90" t="s">
        <v>78</v>
      </c>
    </row>
    <row r="91" spans="2:15">
      <c r="B91">
        <v>4</v>
      </c>
      <c r="C91" t="s">
        <v>15</v>
      </c>
      <c r="F91" t="str">
        <f t="shared" si="2"/>
        <v>恩替卡韦分散片</v>
      </c>
      <c r="G91" t="s">
        <v>191</v>
      </c>
      <c r="H91"/>
      <c r="I91" t="s">
        <v>32</v>
      </c>
      <c r="J91" t="s">
        <v>192</v>
      </c>
      <c r="K91" t="s">
        <v>28</v>
      </c>
      <c r="L91"/>
      <c r="N91" t="s">
        <v>20</v>
      </c>
      <c r="O91" t="s">
        <v>20</v>
      </c>
    </row>
    <row r="92" spans="2:15">
      <c r="B92">
        <v>1</v>
      </c>
      <c r="C92" t="s">
        <v>25</v>
      </c>
      <c r="F92" t="str">
        <f t="shared" si="2"/>
        <v>二甲双胍恩格列净</v>
      </c>
      <c r="G92" t="s">
        <v>193</v>
      </c>
      <c r="H92"/>
      <c r="I92" t="s">
        <v>32</v>
      </c>
      <c r="J92" t="s">
        <v>194</v>
      </c>
      <c r="K92" t="s">
        <v>28</v>
      </c>
      <c r="L92"/>
      <c r="N92" t="s">
        <v>142</v>
      </c>
      <c r="O92" t="s">
        <v>143</v>
      </c>
    </row>
    <row r="93" spans="2:15">
      <c r="B93">
        <v>1</v>
      </c>
      <c r="C93" t="s">
        <v>25</v>
      </c>
      <c r="F93" t="str">
        <f t="shared" si="2"/>
        <v>二甲双胍格列本脲胶囊</v>
      </c>
      <c r="G93" t="s">
        <v>195</v>
      </c>
      <c r="H93"/>
      <c r="I93" t="s">
        <v>22</v>
      </c>
      <c r="J93" t="s">
        <v>196</v>
      </c>
      <c r="K93" t="s">
        <v>28</v>
      </c>
      <c r="L93"/>
      <c r="N93" t="s">
        <v>197</v>
      </c>
      <c r="O93" t="s">
        <v>198</v>
      </c>
    </row>
    <row r="94" spans="2:15">
      <c r="B94">
        <v>1</v>
      </c>
      <c r="C94" t="s">
        <v>25</v>
      </c>
      <c r="F94" t="str">
        <f t="shared" si="2"/>
        <v>二甲双胍格列吡嗪片</v>
      </c>
      <c r="G94" t="s">
        <v>199</v>
      </c>
      <c r="H94"/>
      <c r="I94" t="s">
        <v>32</v>
      </c>
      <c r="J94" t="s">
        <v>200</v>
      </c>
      <c r="K94" t="s">
        <v>28</v>
      </c>
      <c r="L94"/>
      <c r="N94" t="s">
        <v>197</v>
      </c>
      <c r="O94" t="s">
        <v>198</v>
      </c>
    </row>
    <row r="95" spans="2:15">
      <c r="B95">
        <v>1</v>
      </c>
      <c r="C95" t="s">
        <v>25</v>
      </c>
      <c r="F95" t="str">
        <f t="shared" si="2"/>
        <v>二甲双胍维格列汀片</v>
      </c>
      <c r="G95" t="s">
        <v>201</v>
      </c>
      <c r="H95"/>
      <c r="I95" t="s">
        <v>32</v>
      </c>
      <c r="J95" t="s">
        <v>202</v>
      </c>
      <c r="K95" t="s">
        <v>28</v>
      </c>
      <c r="L95"/>
      <c r="N95" t="s">
        <v>203</v>
      </c>
      <c r="O95" t="s">
        <v>204</v>
      </c>
    </row>
    <row r="96" spans="2:15">
      <c r="B96">
        <v>4</v>
      </c>
      <c r="C96" t="s">
        <v>15</v>
      </c>
      <c r="F96" t="str">
        <f t="shared" si="2"/>
        <v>非布司他片</v>
      </c>
      <c r="G96" t="s">
        <v>205</v>
      </c>
      <c r="H96"/>
      <c r="I96" t="s">
        <v>32</v>
      </c>
      <c r="J96" t="s">
        <v>52</v>
      </c>
      <c r="K96" t="s">
        <v>28</v>
      </c>
      <c r="L96"/>
      <c r="N96" t="s">
        <v>20</v>
      </c>
      <c r="O96" t="s">
        <v>20</v>
      </c>
    </row>
    <row r="97" spans="2:15">
      <c r="B97">
        <v>2</v>
      </c>
      <c r="C97" t="s">
        <v>36</v>
      </c>
      <c r="F97" t="str">
        <f t="shared" si="2"/>
        <v>非洛地平缓释片</v>
      </c>
      <c r="G97" t="s">
        <v>206</v>
      </c>
      <c r="H97"/>
      <c r="I97" t="s">
        <v>32</v>
      </c>
      <c r="J97" t="s">
        <v>76</v>
      </c>
      <c r="K97" t="s">
        <v>28</v>
      </c>
      <c r="L97"/>
      <c r="N97" t="s">
        <v>20</v>
      </c>
      <c r="O97" t="s">
        <v>20</v>
      </c>
    </row>
    <row r="98" spans="2:15">
      <c r="B98">
        <v>4</v>
      </c>
      <c r="C98" t="s">
        <v>15</v>
      </c>
      <c r="F98" t="str">
        <f t="shared" si="2"/>
        <v>非那雄胺胶囊</v>
      </c>
      <c r="G98" t="s">
        <v>207</v>
      </c>
      <c r="H98"/>
      <c r="I98" t="s">
        <v>22</v>
      </c>
      <c r="J98" t="s">
        <v>208</v>
      </c>
      <c r="K98" t="s">
        <v>28</v>
      </c>
      <c r="L98"/>
      <c r="N98" t="s">
        <v>20</v>
      </c>
      <c r="O98" t="s">
        <v>20</v>
      </c>
    </row>
    <row r="99" spans="2:15">
      <c r="B99">
        <v>4</v>
      </c>
      <c r="C99" t="s">
        <v>15</v>
      </c>
      <c r="F99" t="str">
        <f t="shared" si="2"/>
        <v>非奈利酮</v>
      </c>
      <c r="G99" t="s">
        <v>209</v>
      </c>
      <c r="H99"/>
      <c r="I99" t="s">
        <v>32</v>
      </c>
      <c r="J99" t="s">
        <v>61</v>
      </c>
      <c r="K99" t="s">
        <v>28</v>
      </c>
      <c r="L99"/>
      <c r="N99" t="s">
        <v>20</v>
      </c>
      <c r="O99" t="s">
        <v>20</v>
      </c>
    </row>
    <row r="100" spans="2:15">
      <c r="B100">
        <v>3</v>
      </c>
      <c r="C100" t="s">
        <v>59</v>
      </c>
      <c r="F100" t="str">
        <f t="shared" si="2"/>
        <v>非诺贝酸片</v>
      </c>
      <c r="G100" t="s">
        <v>210</v>
      </c>
      <c r="H100"/>
      <c r="I100" t="s">
        <v>32</v>
      </c>
      <c r="J100" t="s">
        <v>211</v>
      </c>
      <c r="K100" t="s">
        <v>28</v>
      </c>
      <c r="L100"/>
      <c r="N100" t="s">
        <v>20</v>
      </c>
      <c r="O100" t="s">
        <v>20</v>
      </c>
    </row>
    <row r="101" spans="2:15">
      <c r="B101">
        <v>3</v>
      </c>
      <c r="C101" t="s">
        <v>59</v>
      </c>
      <c r="F101" t="str">
        <f t="shared" si="2"/>
        <v>非诺贝特酸胆碱缓释胶囊</v>
      </c>
      <c r="G101" t="s">
        <v>212</v>
      </c>
      <c r="H101"/>
      <c r="I101" t="s">
        <v>22</v>
      </c>
      <c r="J101" t="s">
        <v>213</v>
      </c>
      <c r="K101" t="s">
        <v>28</v>
      </c>
      <c r="L101"/>
      <c r="N101" t="s">
        <v>20</v>
      </c>
      <c r="O101" t="s">
        <v>20</v>
      </c>
    </row>
    <row r="102" spans="2:15">
      <c r="B102">
        <v>3</v>
      </c>
      <c r="C102" t="s">
        <v>59</v>
      </c>
      <c r="F102" t="str">
        <f t="shared" si="2"/>
        <v>非诺贝特分散片</v>
      </c>
      <c r="G102" t="s">
        <v>214</v>
      </c>
      <c r="H102"/>
      <c r="I102" t="s">
        <v>32</v>
      </c>
      <c r="J102" t="s">
        <v>65</v>
      </c>
      <c r="K102" t="s">
        <v>19</v>
      </c>
      <c r="L102"/>
      <c r="N102" t="s">
        <v>20</v>
      </c>
      <c r="O102" t="s">
        <v>20</v>
      </c>
    </row>
    <row r="103" spans="2:15">
      <c r="B103">
        <v>3</v>
      </c>
      <c r="C103" t="s">
        <v>59</v>
      </c>
      <c r="F103" t="str">
        <f t="shared" si="2"/>
        <v>非诺贝特缓释胶囊</v>
      </c>
      <c r="G103" t="s">
        <v>215</v>
      </c>
      <c r="H103"/>
      <c r="I103" t="s">
        <v>22</v>
      </c>
      <c r="J103" t="s">
        <v>122</v>
      </c>
      <c r="K103" t="s">
        <v>19</v>
      </c>
      <c r="L103"/>
      <c r="N103" t="s">
        <v>20</v>
      </c>
      <c r="O103" t="s">
        <v>20</v>
      </c>
    </row>
    <row r="104" spans="2:15">
      <c r="B104">
        <v>3</v>
      </c>
      <c r="C104" t="s">
        <v>59</v>
      </c>
      <c r="F104" t="str">
        <f t="shared" si="2"/>
        <v>非诺贝特胶囊</v>
      </c>
      <c r="G104" t="s">
        <v>216</v>
      </c>
      <c r="H104"/>
      <c r="I104" t="s">
        <v>22</v>
      </c>
      <c r="J104" t="s">
        <v>217</v>
      </c>
      <c r="K104" t="s">
        <v>19</v>
      </c>
      <c r="L104"/>
      <c r="N104" t="s">
        <v>20</v>
      </c>
      <c r="O104" t="s">
        <v>20</v>
      </c>
    </row>
    <row r="105" spans="2:15">
      <c r="B105">
        <v>3</v>
      </c>
      <c r="C105" t="s">
        <v>59</v>
      </c>
      <c r="F105" t="str">
        <f t="shared" si="2"/>
        <v>非诺贝特片</v>
      </c>
      <c r="G105" t="s">
        <v>218</v>
      </c>
      <c r="H105"/>
      <c r="I105" t="s">
        <v>32</v>
      </c>
      <c r="J105" t="s">
        <v>35</v>
      </c>
      <c r="K105" t="s">
        <v>28</v>
      </c>
      <c r="N105" t="s">
        <v>20</v>
      </c>
      <c r="O105" t="s">
        <v>20</v>
      </c>
    </row>
    <row r="106" spans="2:15">
      <c r="B106">
        <v>3</v>
      </c>
      <c r="C106" t="s">
        <v>59</v>
      </c>
      <c r="F106" t="str">
        <f t="shared" si="2"/>
        <v>非诺贝特片（III）</v>
      </c>
      <c r="G106" t="s">
        <v>219</v>
      </c>
      <c r="H106"/>
      <c r="I106" t="s">
        <v>32</v>
      </c>
      <c r="J106" t="s">
        <v>220</v>
      </c>
      <c r="K106" t="s">
        <v>28</v>
      </c>
      <c r="L106"/>
      <c r="N106" t="s">
        <v>20</v>
      </c>
      <c r="O106" t="s">
        <v>20</v>
      </c>
    </row>
    <row r="107" spans="2:15">
      <c r="B107">
        <v>3</v>
      </c>
      <c r="C107" t="s">
        <v>59</v>
      </c>
      <c r="F107" t="str">
        <f t="shared" si="2"/>
        <v>非诺贝特胶囊</v>
      </c>
      <c r="G107" t="s">
        <v>216</v>
      </c>
      <c r="H107"/>
      <c r="I107" t="s">
        <v>22</v>
      </c>
      <c r="J107" t="s">
        <v>167</v>
      </c>
      <c r="K107" t="s">
        <v>19</v>
      </c>
      <c r="L107"/>
      <c r="N107" t="s">
        <v>20</v>
      </c>
      <c r="O107" t="s">
        <v>20</v>
      </c>
    </row>
    <row r="108" spans="2:15">
      <c r="B108">
        <v>4</v>
      </c>
      <c r="C108" t="s">
        <v>15</v>
      </c>
      <c r="F108" t="str">
        <f t="shared" si="2"/>
        <v>呋塞米片</v>
      </c>
      <c r="G108" t="s">
        <v>221</v>
      </c>
      <c r="H108"/>
      <c r="I108" t="s">
        <v>32</v>
      </c>
      <c r="J108" t="s">
        <v>51</v>
      </c>
      <c r="K108" t="s">
        <v>28</v>
      </c>
      <c r="L108"/>
      <c r="N108" t="s">
        <v>20</v>
      </c>
      <c r="O108" t="s">
        <v>20</v>
      </c>
    </row>
    <row r="109" spans="2:15">
      <c r="B109">
        <v>1</v>
      </c>
      <c r="C109" t="s">
        <v>25</v>
      </c>
      <c r="F109" t="str">
        <f t="shared" si="2"/>
        <v>伏格列波糖分散片</v>
      </c>
      <c r="G109" t="s">
        <v>222</v>
      </c>
      <c r="H109"/>
      <c r="I109" t="s">
        <v>32</v>
      </c>
      <c r="J109" t="s">
        <v>223</v>
      </c>
      <c r="K109" t="s">
        <v>28</v>
      </c>
      <c r="L109"/>
      <c r="N109" t="s">
        <v>29</v>
      </c>
      <c r="O109" t="s">
        <v>30</v>
      </c>
    </row>
    <row r="110" spans="2:15">
      <c r="B110">
        <v>1</v>
      </c>
      <c r="C110" t="s">
        <v>25</v>
      </c>
      <c r="F110" t="str">
        <f t="shared" si="2"/>
        <v>伏格列波糖胶囊</v>
      </c>
      <c r="G110" t="s">
        <v>224</v>
      </c>
      <c r="H110"/>
      <c r="I110" t="s">
        <v>22</v>
      </c>
      <c r="J110" t="s">
        <v>225</v>
      </c>
      <c r="K110" t="s">
        <v>28</v>
      </c>
      <c r="L110"/>
      <c r="N110" t="s">
        <v>29</v>
      </c>
      <c r="O110" t="s">
        <v>30</v>
      </c>
    </row>
    <row r="111" spans="2:15">
      <c r="B111">
        <v>1</v>
      </c>
      <c r="C111" t="s">
        <v>25</v>
      </c>
      <c r="F111" t="str">
        <f t="shared" si="2"/>
        <v>伏格列波糖片</v>
      </c>
      <c r="G111" t="s">
        <v>226</v>
      </c>
      <c r="H111"/>
      <c r="I111" t="s">
        <v>32</v>
      </c>
      <c r="J111" t="s">
        <v>223</v>
      </c>
      <c r="K111" t="s">
        <v>28</v>
      </c>
      <c r="L111"/>
      <c r="N111" t="s">
        <v>29</v>
      </c>
      <c r="O111" t="s">
        <v>30</v>
      </c>
    </row>
    <row r="112" spans="2:15">
      <c r="B112">
        <v>1</v>
      </c>
      <c r="C112" t="s">
        <v>25</v>
      </c>
      <c r="F112" t="str">
        <f t="shared" si="2"/>
        <v>伏格列波糖片</v>
      </c>
      <c r="G112" t="s">
        <v>226</v>
      </c>
      <c r="H112"/>
      <c r="I112" t="s">
        <v>32</v>
      </c>
      <c r="J112" t="s">
        <v>227</v>
      </c>
      <c r="K112" t="s">
        <v>28</v>
      </c>
      <c r="L112"/>
      <c r="N112" t="s">
        <v>29</v>
      </c>
      <c r="O112" t="s">
        <v>30</v>
      </c>
    </row>
    <row r="113" spans="2:15">
      <c r="B113">
        <v>4</v>
      </c>
      <c r="C113" t="s">
        <v>15</v>
      </c>
      <c r="F113" t="str">
        <f t="shared" si="2"/>
        <v>伏立康唑片</v>
      </c>
      <c r="G113" t="s">
        <v>228</v>
      </c>
      <c r="H113"/>
      <c r="I113" t="s">
        <v>32</v>
      </c>
      <c r="J113" t="s">
        <v>229</v>
      </c>
      <c r="K113" t="s">
        <v>28</v>
      </c>
      <c r="L113"/>
      <c r="N113" t="s">
        <v>20</v>
      </c>
      <c r="O113" t="s">
        <v>20</v>
      </c>
    </row>
    <row r="114" spans="2:15">
      <c r="B114">
        <v>3</v>
      </c>
      <c r="C114" t="s">
        <v>59</v>
      </c>
      <c r="F114" t="str">
        <f t="shared" si="2"/>
        <v>氟伐他汀钠缓释片</v>
      </c>
      <c r="G114" t="s">
        <v>230</v>
      </c>
      <c r="H114"/>
      <c r="I114" t="s">
        <v>32</v>
      </c>
      <c r="J114" t="s">
        <v>38</v>
      </c>
      <c r="K114" t="s">
        <v>28</v>
      </c>
      <c r="L114"/>
      <c r="N114" t="s">
        <v>20</v>
      </c>
      <c r="O114" t="s">
        <v>20</v>
      </c>
    </row>
    <row r="115" spans="2:15">
      <c r="B115">
        <v>3</v>
      </c>
      <c r="C115" t="s">
        <v>59</v>
      </c>
      <c r="F115" t="str">
        <f t="shared" si="2"/>
        <v>氟伐他汀钠胶囊</v>
      </c>
      <c r="G115" t="s">
        <v>231</v>
      </c>
      <c r="H115"/>
      <c r="I115" t="s">
        <v>32</v>
      </c>
      <c r="J115" t="s">
        <v>52</v>
      </c>
      <c r="K115" t="s">
        <v>28</v>
      </c>
      <c r="N115" t="s">
        <v>20</v>
      </c>
      <c r="O115" t="s">
        <v>20</v>
      </c>
    </row>
    <row r="116" spans="2:15">
      <c r="B116">
        <v>3</v>
      </c>
      <c r="C116" t="s">
        <v>59</v>
      </c>
      <c r="F116" t="str">
        <f t="shared" si="2"/>
        <v>氟伐他汀钠胶囊</v>
      </c>
      <c r="G116" t="s">
        <v>231</v>
      </c>
      <c r="H116"/>
      <c r="I116" t="s">
        <v>22</v>
      </c>
      <c r="J116" t="s">
        <v>232</v>
      </c>
      <c r="K116" t="s">
        <v>28</v>
      </c>
      <c r="L116"/>
      <c r="N116" t="s">
        <v>20</v>
      </c>
      <c r="O116" t="s">
        <v>20</v>
      </c>
    </row>
    <row r="117" spans="2:15">
      <c r="B117">
        <v>4</v>
      </c>
      <c r="C117" t="s">
        <v>15</v>
      </c>
      <c r="F117" t="str">
        <f t="shared" si="2"/>
        <v>布洛芬缓释胶囊</v>
      </c>
      <c r="G117" t="s">
        <v>233</v>
      </c>
      <c r="H117"/>
      <c r="I117" t="s">
        <v>22</v>
      </c>
      <c r="J117" t="s">
        <v>234</v>
      </c>
      <c r="K117" t="s">
        <v>19</v>
      </c>
      <c r="L117"/>
      <c r="N117" t="s">
        <v>20</v>
      </c>
      <c r="O117" t="s">
        <v>20</v>
      </c>
    </row>
    <row r="118" spans="2:15">
      <c r="B118">
        <v>4</v>
      </c>
      <c r="C118" t="s">
        <v>15</v>
      </c>
      <c r="F118" t="str">
        <f t="shared" si="2"/>
        <v>氟哌噻吨美利曲辛片</v>
      </c>
      <c r="G118" t="s">
        <v>235</v>
      </c>
      <c r="H118"/>
      <c r="I118" t="s">
        <v>32</v>
      </c>
      <c r="J118" t="s">
        <v>236</v>
      </c>
      <c r="K118" t="s">
        <v>28</v>
      </c>
      <c r="L118"/>
      <c r="N118" t="s">
        <v>20</v>
      </c>
      <c r="O118" t="s">
        <v>20</v>
      </c>
    </row>
    <row r="119" spans="2:15">
      <c r="B119">
        <v>4</v>
      </c>
      <c r="C119" t="s">
        <v>15</v>
      </c>
      <c r="F119" t="str">
        <f t="shared" si="2"/>
        <v>加巴喷丁胶囊</v>
      </c>
      <c r="G119" t="s">
        <v>237</v>
      </c>
      <c r="H119"/>
      <c r="I119" t="s">
        <v>32</v>
      </c>
      <c r="J119" t="s">
        <v>167</v>
      </c>
      <c r="K119" t="s">
        <v>19</v>
      </c>
      <c r="L119"/>
      <c r="N119" t="s">
        <v>20</v>
      </c>
      <c r="O119" t="s">
        <v>20</v>
      </c>
    </row>
    <row r="120" spans="2:15">
      <c r="B120">
        <v>2</v>
      </c>
      <c r="C120" t="s">
        <v>36</v>
      </c>
      <c r="F120" t="str">
        <f t="shared" si="2"/>
        <v>福辛普利钠片</v>
      </c>
      <c r="G120" t="s">
        <v>238</v>
      </c>
      <c r="H120"/>
      <c r="I120" t="s">
        <v>32</v>
      </c>
      <c r="J120" t="s">
        <v>61</v>
      </c>
      <c r="K120" t="s">
        <v>28</v>
      </c>
      <c r="L120"/>
      <c r="N120" t="s">
        <v>20</v>
      </c>
      <c r="O120" t="s">
        <v>20</v>
      </c>
    </row>
    <row r="121" spans="2:15">
      <c r="B121">
        <v>4</v>
      </c>
      <c r="C121" t="s">
        <v>15</v>
      </c>
      <c r="F121" t="str">
        <f t="shared" si="2"/>
        <v>辅酶Q10</v>
      </c>
      <c r="G121" t="s">
        <v>239</v>
      </c>
      <c r="H121"/>
      <c r="I121" t="s">
        <v>32</v>
      </c>
      <c r="J121" t="s">
        <v>61</v>
      </c>
      <c r="K121" t="s">
        <v>28</v>
      </c>
      <c r="L121"/>
      <c r="N121" t="s">
        <v>20</v>
      </c>
      <c r="O121" t="s">
        <v>20</v>
      </c>
    </row>
    <row r="122" spans="2:15">
      <c r="B122">
        <v>4</v>
      </c>
      <c r="C122" t="s">
        <v>15</v>
      </c>
      <c r="F122" t="str">
        <f t="shared" si="2"/>
        <v>复方α-酮酸片</v>
      </c>
      <c r="G122" t="s">
        <v>240</v>
      </c>
      <c r="H122"/>
      <c r="I122" t="s">
        <v>32</v>
      </c>
      <c r="J122" t="s">
        <v>241</v>
      </c>
      <c r="K122" t="s">
        <v>19</v>
      </c>
      <c r="L122"/>
      <c r="N122" t="s">
        <v>20</v>
      </c>
      <c r="O122" t="s">
        <v>20</v>
      </c>
    </row>
    <row r="123" spans="2:15">
      <c r="B123">
        <v>4</v>
      </c>
      <c r="C123" t="s">
        <v>15</v>
      </c>
      <c r="F123" t="str">
        <f t="shared" si="2"/>
        <v>盐酸多奈哌齐片</v>
      </c>
      <c r="G123" t="s">
        <v>242</v>
      </c>
      <c r="H123"/>
      <c r="I123" t="s">
        <v>32</v>
      </c>
      <c r="J123" t="s">
        <v>61</v>
      </c>
      <c r="K123" t="s">
        <v>28</v>
      </c>
      <c r="L123"/>
      <c r="N123" t="s">
        <v>20</v>
      </c>
      <c r="O123" t="s">
        <v>20</v>
      </c>
    </row>
    <row r="124" spans="2:15">
      <c r="B124">
        <v>4</v>
      </c>
      <c r="C124" t="s">
        <v>15</v>
      </c>
      <c r="F124" t="str">
        <f t="shared" si="2"/>
        <v>海昆肾喜胶囊</v>
      </c>
      <c r="G124" t="s">
        <v>243</v>
      </c>
      <c r="H124"/>
      <c r="I124" t="s">
        <v>22</v>
      </c>
      <c r="J124" t="s">
        <v>244</v>
      </c>
      <c r="K124" t="s">
        <v>19</v>
      </c>
      <c r="L124"/>
      <c r="N124" t="s">
        <v>20</v>
      </c>
      <c r="O124" t="s">
        <v>20</v>
      </c>
    </row>
    <row r="125" spans="2:15">
      <c r="B125">
        <v>4</v>
      </c>
      <c r="C125" t="s">
        <v>15</v>
      </c>
      <c r="F125" t="str">
        <f t="shared" si="2"/>
        <v>雷公藤多苷片</v>
      </c>
      <c r="G125" t="s">
        <v>245</v>
      </c>
      <c r="H125"/>
      <c r="I125" t="s">
        <v>32</v>
      </c>
      <c r="J125" t="s">
        <v>61</v>
      </c>
      <c r="K125" t="s">
        <v>28</v>
      </c>
      <c r="L125"/>
      <c r="N125" t="s">
        <v>20</v>
      </c>
      <c r="O125" t="s">
        <v>20</v>
      </c>
    </row>
    <row r="126" spans="2:15">
      <c r="B126">
        <v>4</v>
      </c>
      <c r="C126" t="s">
        <v>15</v>
      </c>
      <c r="F126" t="str">
        <f t="shared" si="2"/>
        <v>复方血栓通胶囊</v>
      </c>
      <c r="G126" t="s">
        <v>246</v>
      </c>
      <c r="H126"/>
      <c r="I126" t="s">
        <v>22</v>
      </c>
      <c r="J126" t="s">
        <v>247</v>
      </c>
      <c r="K126" t="s">
        <v>19</v>
      </c>
      <c r="L126"/>
      <c r="N126" t="s">
        <v>20</v>
      </c>
      <c r="O126" t="s">
        <v>20</v>
      </c>
    </row>
    <row r="127" spans="2:15">
      <c r="B127">
        <v>4</v>
      </c>
      <c r="C127" t="s">
        <v>15</v>
      </c>
      <c r="F127" t="str">
        <f t="shared" si="2"/>
        <v>复合维生素B片</v>
      </c>
      <c r="G127" t="s">
        <v>248</v>
      </c>
      <c r="H127"/>
      <c r="I127" t="s">
        <v>32</v>
      </c>
      <c r="J127" t="s">
        <v>249</v>
      </c>
      <c r="K127" t="s">
        <v>28</v>
      </c>
      <c r="L127"/>
      <c r="N127" t="s">
        <v>20</v>
      </c>
      <c r="O127" t="s">
        <v>20</v>
      </c>
    </row>
    <row r="128" spans="2:15">
      <c r="B128">
        <v>4</v>
      </c>
      <c r="C128" t="s">
        <v>15</v>
      </c>
      <c r="F128" t="str">
        <f t="shared" si="2"/>
        <v>富马酸比索洛尔片</v>
      </c>
      <c r="G128" t="s">
        <v>250</v>
      </c>
      <c r="H128"/>
      <c r="I128" t="s">
        <v>32</v>
      </c>
      <c r="J128" t="s">
        <v>76</v>
      </c>
      <c r="K128" t="s">
        <v>28</v>
      </c>
      <c r="L128"/>
      <c r="N128" t="s">
        <v>20</v>
      </c>
      <c r="O128" t="s">
        <v>20</v>
      </c>
    </row>
    <row r="129" spans="2:15">
      <c r="B129">
        <v>4</v>
      </c>
      <c r="C129" t="s">
        <v>15</v>
      </c>
      <c r="F129" t="str">
        <f t="shared" si="2"/>
        <v>甘草酸二铵肠溶胶囊</v>
      </c>
      <c r="G129" t="s">
        <v>251</v>
      </c>
      <c r="H129"/>
      <c r="I129" t="s">
        <v>22</v>
      </c>
      <c r="J129" t="s">
        <v>27</v>
      </c>
      <c r="K129" t="s">
        <v>28</v>
      </c>
      <c r="L129"/>
      <c r="N129" t="s">
        <v>20</v>
      </c>
      <c r="O129" t="s">
        <v>20</v>
      </c>
    </row>
    <row r="130" spans="2:15">
      <c r="B130">
        <v>16</v>
      </c>
      <c r="C130" t="s">
        <v>66</v>
      </c>
      <c r="D130" t="s">
        <v>67</v>
      </c>
      <c r="E130" t="s">
        <v>67</v>
      </c>
      <c r="F130" t="str">
        <f t="shared" si="2"/>
        <v>甘精胰岛素利司那肽注射液（Ⅱ）</v>
      </c>
      <c r="G130" t="s">
        <v>252</v>
      </c>
      <c r="H130"/>
      <c r="I130" t="s">
        <v>139</v>
      </c>
      <c r="J130" t="s">
        <v>253</v>
      </c>
      <c r="K130" t="s">
        <v>139</v>
      </c>
      <c r="L130"/>
      <c r="N130" t="s">
        <v>157</v>
      </c>
      <c r="O130" t="s">
        <v>254</v>
      </c>
    </row>
    <row r="131" spans="2:15">
      <c r="B131">
        <v>16</v>
      </c>
      <c r="C131" t="s">
        <v>66</v>
      </c>
      <c r="E131" t="s">
        <v>67</v>
      </c>
      <c r="F131" t="str">
        <f t="shared" si="2"/>
        <v>甘精胰岛素利司那肽注射液（Ⅰ）</v>
      </c>
      <c r="G131" t="s">
        <v>255</v>
      </c>
      <c r="H131"/>
      <c r="I131" t="s">
        <v>139</v>
      </c>
      <c r="J131" t="s">
        <v>256</v>
      </c>
      <c r="K131" t="s">
        <v>139</v>
      </c>
    </row>
    <row r="132" spans="2:15">
      <c r="B132">
        <v>15</v>
      </c>
      <c r="C132" t="s">
        <v>149</v>
      </c>
      <c r="D132" t="s">
        <v>159</v>
      </c>
      <c r="F132" t="str">
        <f t="shared" si="2"/>
        <v>甘精胰岛素注射液</v>
      </c>
      <c r="G132" t="s">
        <v>257</v>
      </c>
      <c r="H132"/>
      <c r="I132" t="s">
        <v>139</v>
      </c>
      <c r="J132" t="s">
        <v>258</v>
      </c>
      <c r="K132" t="s">
        <v>139</v>
      </c>
      <c r="N132" t="s">
        <v>161</v>
      </c>
      <c r="O132" t="s">
        <v>162</v>
      </c>
    </row>
    <row r="133" spans="2:15">
      <c r="B133">
        <v>1</v>
      </c>
      <c r="C133" t="s">
        <v>25</v>
      </c>
      <c r="F133" t="str">
        <f t="shared" ref="F133:F195" si="3">G133</f>
        <v>格列吡嗪缓释片</v>
      </c>
      <c r="G133" t="s">
        <v>259</v>
      </c>
      <c r="H133"/>
      <c r="I133" t="s">
        <v>32</v>
      </c>
      <c r="J133" t="s">
        <v>76</v>
      </c>
      <c r="K133" t="s">
        <v>28</v>
      </c>
      <c r="L133"/>
      <c r="N133" t="s">
        <v>260</v>
      </c>
      <c r="O133" t="s">
        <v>261</v>
      </c>
    </row>
    <row r="134" spans="2:15">
      <c r="B134">
        <v>1</v>
      </c>
      <c r="C134" t="s">
        <v>25</v>
      </c>
      <c r="F134" t="str">
        <f t="shared" si="3"/>
        <v>格列吡嗪控释片</v>
      </c>
      <c r="G134" t="s">
        <v>262</v>
      </c>
      <c r="H134"/>
      <c r="I134" t="s">
        <v>32</v>
      </c>
      <c r="J134" t="s">
        <v>76</v>
      </c>
      <c r="K134" t="s">
        <v>28</v>
      </c>
      <c r="L134"/>
      <c r="N134" t="s">
        <v>260</v>
      </c>
      <c r="O134" t="s">
        <v>261</v>
      </c>
    </row>
    <row r="135" spans="2:15">
      <c r="B135">
        <v>1</v>
      </c>
      <c r="C135" t="s">
        <v>25</v>
      </c>
      <c r="F135" t="str">
        <f t="shared" si="3"/>
        <v>格列吡嗪片</v>
      </c>
      <c r="G135" t="s">
        <v>263</v>
      </c>
      <c r="H135"/>
      <c r="I135" t="s">
        <v>32</v>
      </c>
      <c r="J135" t="s">
        <v>76</v>
      </c>
      <c r="K135" t="s">
        <v>28</v>
      </c>
      <c r="L135"/>
      <c r="N135" t="s">
        <v>260</v>
      </c>
      <c r="O135" t="s">
        <v>261</v>
      </c>
    </row>
    <row r="136" spans="2:15">
      <c r="B136">
        <v>1</v>
      </c>
      <c r="C136" t="s">
        <v>25</v>
      </c>
      <c r="F136" t="str">
        <f t="shared" si="3"/>
        <v>格列喹酮分散片</v>
      </c>
      <c r="G136" t="s">
        <v>264</v>
      </c>
      <c r="H136"/>
      <c r="I136" t="s">
        <v>32</v>
      </c>
      <c r="J136" t="s">
        <v>265</v>
      </c>
      <c r="K136" t="s">
        <v>28</v>
      </c>
      <c r="L136"/>
      <c r="N136" t="s">
        <v>266</v>
      </c>
      <c r="O136" t="s">
        <v>267</v>
      </c>
    </row>
    <row r="137" spans="2:15">
      <c r="B137">
        <v>1</v>
      </c>
      <c r="C137" t="s">
        <v>25</v>
      </c>
      <c r="F137" t="str">
        <f t="shared" si="3"/>
        <v>格列喹酮片</v>
      </c>
      <c r="G137" t="s">
        <v>268</v>
      </c>
      <c r="H137"/>
      <c r="I137" t="s">
        <v>32</v>
      </c>
      <c r="J137" t="s">
        <v>265</v>
      </c>
      <c r="K137" t="s">
        <v>28</v>
      </c>
      <c r="L137"/>
      <c r="N137" t="s">
        <v>266</v>
      </c>
      <c r="O137" t="s">
        <v>267</v>
      </c>
    </row>
    <row r="138" spans="2:15">
      <c r="B138">
        <v>1</v>
      </c>
      <c r="C138" t="s">
        <v>25</v>
      </c>
      <c r="F138" t="str">
        <f t="shared" si="3"/>
        <v>格列美脲片</v>
      </c>
      <c r="G138" t="s">
        <v>269</v>
      </c>
      <c r="H138"/>
      <c r="I138" t="s">
        <v>32</v>
      </c>
      <c r="J138" t="s">
        <v>270</v>
      </c>
      <c r="K138" t="s">
        <v>28</v>
      </c>
      <c r="L138"/>
      <c r="N138" t="s">
        <v>271</v>
      </c>
      <c r="O138" t="s">
        <v>272</v>
      </c>
    </row>
    <row r="139" spans="2:15">
      <c r="B139">
        <v>1</v>
      </c>
      <c r="C139" t="s">
        <v>25</v>
      </c>
      <c r="F139" t="str">
        <f t="shared" si="3"/>
        <v>格列美脲片</v>
      </c>
      <c r="G139" t="s">
        <v>269</v>
      </c>
      <c r="H139"/>
      <c r="I139" t="s">
        <v>32</v>
      </c>
      <c r="J139" t="s">
        <v>74</v>
      </c>
      <c r="K139" t="s">
        <v>28</v>
      </c>
      <c r="L139"/>
      <c r="N139" t="s">
        <v>271</v>
      </c>
      <c r="O139" t="s">
        <v>272</v>
      </c>
    </row>
    <row r="140" spans="2:15">
      <c r="B140">
        <v>1</v>
      </c>
      <c r="C140" t="s">
        <v>25</v>
      </c>
      <c r="F140" t="str">
        <f t="shared" si="3"/>
        <v>格列齐特缓释胶囊</v>
      </c>
      <c r="G140" t="s">
        <v>273</v>
      </c>
      <c r="H140"/>
      <c r="I140" t="s">
        <v>22</v>
      </c>
      <c r="J140" t="s">
        <v>265</v>
      </c>
      <c r="K140" t="s">
        <v>28</v>
      </c>
      <c r="L140"/>
      <c r="N140" t="s">
        <v>274</v>
      </c>
      <c r="O140" t="s">
        <v>261</v>
      </c>
    </row>
    <row r="141" spans="2:15">
      <c r="B141">
        <v>1</v>
      </c>
      <c r="C141" t="s">
        <v>25</v>
      </c>
      <c r="F141" t="str">
        <f t="shared" si="3"/>
        <v>格列齐特缓释片</v>
      </c>
      <c r="G141" t="s">
        <v>275</v>
      </c>
      <c r="H141"/>
      <c r="I141" t="s">
        <v>32</v>
      </c>
      <c r="J141" t="s">
        <v>265</v>
      </c>
      <c r="K141" t="s">
        <v>28</v>
      </c>
      <c r="L141"/>
      <c r="N141" t="s">
        <v>274</v>
      </c>
      <c r="O141" t="s">
        <v>261</v>
      </c>
    </row>
    <row r="142" spans="2:15">
      <c r="B142">
        <v>1</v>
      </c>
      <c r="C142" t="s">
        <v>25</v>
      </c>
      <c r="F142" t="str">
        <f t="shared" si="3"/>
        <v>格列齐特缓释片</v>
      </c>
      <c r="G142" t="s">
        <v>275</v>
      </c>
      <c r="H142"/>
      <c r="I142" t="s">
        <v>32</v>
      </c>
      <c r="J142" t="s">
        <v>147</v>
      </c>
      <c r="K142" t="s">
        <v>28</v>
      </c>
      <c r="L142"/>
      <c r="N142" t="s">
        <v>274</v>
      </c>
      <c r="O142" t="s">
        <v>261</v>
      </c>
    </row>
    <row r="143" spans="2:15">
      <c r="B143">
        <v>1</v>
      </c>
      <c r="C143" t="s">
        <v>25</v>
      </c>
      <c r="F143" t="str">
        <f t="shared" si="3"/>
        <v>格列齐特片</v>
      </c>
      <c r="G143" t="s">
        <v>276</v>
      </c>
      <c r="H143"/>
      <c r="I143" t="s">
        <v>32</v>
      </c>
      <c r="J143" t="s">
        <v>38</v>
      </c>
      <c r="K143" t="s">
        <v>28</v>
      </c>
      <c r="L143"/>
      <c r="N143" t="s">
        <v>274</v>
      </c>
      <c r="O143" t="s">
        <v>261</v>
      </c>
    </row>
    <row r="144" spans="2:15">
      <c r="B144">
        <v>4</v>
      </c>
      <c r="C144" t="s">
        <v>15</v>
      </c>
      <c r="F144" t="str">
        <f t="shared" si="3"/>
        <v>枸橼酸铋钾胶囊</v>
      </c>
      <c r="G144" t="s">
        <v>277</v>
      </c>
      <c r="H144"/>
      <c r="I144" t="s">
        <v>22</v>
      </c>
      <c r="J144" t="s">
        <v>234</v>
      </c>
      <c r="K144" t="s">
        <v>19</v>
      </c>
      <c r="L144"/>
      <c r="N144" t="s">
        <v>20</v>
      </c>
      <c r="O144" t="s">
        <v>20</v>
      </c>
    </row>
    <row r="145" spans="2:15">
      <c r="B145">
        <v>4</v>
      </c>
      <c r="C145" t="s">
        <v>15</v>
      </c>
      <c r="F145" t="str">
        <f t="shared" si="3"/>
        <v>复方嗜酸乳杆菌片</v>
      </c>
      <c r="G145" t="s">
        <v>278</v>
      </c>
      <c r="H145"/>
      <c r="I145" t="s">
        <v>32</v>
      </c>
      <c r="J145" t="s">
        <v>279</v>
      </c>
      <c r="K145" t="s">
        <v>19</v>
      </c>
      <c r="L145"/>
      <c r="N145" t="s">
        <v>20</v>
      </c>
      <c r="O145" t="s">
        <v>20</v>
      </c>
    </row>
    <row r="146" spans="2:15">
      <c r="B146">
        <v>4</v>
      </c>
      <c r="C146" t="s">
        <v>15</v>
      </c>
      <c r="F146" t="str">
        <f t="shared" si="3"/>
        <v>和血明目片</v>
      </c>
      <c r="G146" t="s">
        <v>280</v>
      </c>
      <c r="H146"/>
      <c r="I146" t="s">
        <v>32</v>
      </c>
      <c r="J146" t="s">
        <v>281</v>
      </c>
      <c r="K146" t="s">
        <v>19</v>
      </c>
      <c r="L146"/>
      <c r="N146" t="s">
        <v>20</v>
      </c>
      <c r="O146" t="s">
        <v>20</v>
      </c>
    </row>
    <row r="147" spans="2:15">
      <c r="B147">
        <v>4</v>
      </c>
      <c r="C147" t="s">
        <v>15</v>
      </c>
      <c r="F147" t="str">
        <f t="shared" si="3"/>
        <v>盐酸乙哌立松片</v>
      </c>
      <c r="G147" t="s">
        <v>282</v>
      </c>
      <c r="H147"/>
      <c r="I147" t="s">
        <v>32</v>
      </c>
      <c r="J147" t="s">
        <v>33</v>
      </c>
      <c r="K147" t="s">
        <v>28</v>
      </c>
      <c r="L147"/>
      <c r="N147" t="s">
        <v>20</v>
      </c>
      <c r="O147" t="s">
        <v>20</v>
      </c>
    </row>
    <row r="148" spans="2:15">
      <c r="B148">
        <v>4</v>
      </c>
      <c r="C148" t="s">
        <v>15</v>
      </c>
      <c r="F148" t="str">
        <f t="shared" si="3"/>
        <v>枸橼酸莫沙必利片</v>
      </c>
      <c r="G148" t="s">
        <v>283</v>
      </c>
      <c r="H148"/>
      <c r="I148" t="s">
        <v>32</v>
      </c>
      <c r="J148" t="s">
        <v>76</v>
      </c>
      <c r="K148" t="s">
        <v>28</v>
      </c>
      <c r="L148"/>
      <c r="N148" t="s">
        <v>20</v>
      </c>
      <c r="O148" t="s">
        <v>20</v>
      </c>
    </row>
    <row r="149" spans="2:15">
      <c r="B149">
        <v>4</v>
      </c>
      <c r="C149" t="s">
        <v>15</v>
      </c>
      <c r="F149" t="str">
        <f t="shared" si="3"/>
        <v>枸橼酸氢钾钠颗粒</v>
      </c>
      <c r="G149" t="s">
        <v>284</v>
      </c>
      <c r="H149"/>
      <c r="I149" t="s">
        <v>17</v>
      </c>
      <c r="J149" t="s">
        <v>285</v>
      </c>
      <c r="K149" t="s">
        <v>19</v>
      </c>
      <c r="L149"/>
      <c r="N149" t="s">
        <v>20</v>
      </c>
      <c r="O149" t="s">
        <v>20</v>
      </c>
    </row>
    <row r="150" spans="2:15">
      <c r="B150">
        <v>4</v>
      </c>
      <c r="C150" t="s">
        <v>15</v>
      </c>
      <c r="F150" t="str">
        <f t="shared" si="3"/>
        <v>枸橼酸西地那非片</v>
      </c>
      <c r="G150" t="s">
        <v>286</v>
      </c>
      <c r="H150"/>
      <c r="I150" t="s">
        <v>32</v>
      </c>
      <c r="J150" t="s">
        <v>65</v>
      </c>
      <c r="K150" t="s">
        <v>19</v>
      </c>
      <c r="L150"/>
      <c r="N150" t="s">
        <v>20</v>
      </c>
      <c r="O150" t="s">
        <v>20</v>
      </c>
    </row>
    <row r="151" spans="2:15">
      <c r="B151">
        <v>4</v>
      </c>
      <c r="C151" t="s">
        <v>15</v>
      </c>
      <c r="F151" t="str">
        <f t="shared" si="3"/>
        <v>谷胱甘肽片</v>
      </c>
      <c r="G151" t="s">
        <v>287</v>
      </c>
      <c r="H151"/>
      <c r="I151" t="s">
        <v>32</v>
      </c>
      <c r="J151" t="s">
        <v>65</v>
      </c>
      <c r="K151" t="s">
        <v>19</v>
      </c>
      <c r="L151"/>
      <c r="N151" t="s">
        <v>20</v>
      </c>
      <c r="O151" t="s">
        <v>20</v>
      </c>
    </row>
    <row r="152" spans="2:15">
      <c r="B152">
        <v>17</v>
      </c>
      <c r="C152" t="s">
        <v>149</v>
      </c>
      <c r="D152" t="s">
        <v>288</v>
      </c>
      <c r="F152" t="str">
        <f t="shared" si="3"/>
        <v>谷赖胰岛素注射液</v>
      </c>
      <c r="G152" t="s">
        <v>289</v>
      </c>
      <c r="H152"/>
      <c r="I152" t="s">
        <v>139</v>
      </c>
      <c r="J152" t="s">
        <v>152</v>
      </c>
      <c r="K152" t="s">
        <v>139</v>
      </c>
      <c r="L152"/>
      <c r="N152" t="s">
        <v>290</v>
      </c>
      <c r="O152" t="s">
        <v>162</v>
      </c>
    </row>
    <row r="153" spans="2:15">
      <c r="B153">
        <v>4</v>
      </c>
      <c r="C153" t="s">
        <v>15</v>
      </c>
      <c r="F153" t="str">
        <f t="shared" si="3"/>
        <v>骨化三醇胶丸</v>
      </c>
      <c r="G153" t="s">
        <v>291</v>
      </c>
      <c r="H153"/>
      <c r="I153" t="s">
        <v>22</v>
      </c>
      <c r="J153" t="s">
        <v>23</v>
      </c>
      <c r="K153" t="s">
        <v>24</v>
      </c>
      <c r="L153"/>
      <c r="N153" t="s">
        <v>20</v>
      </c>
      <c r="O153" t="s">
        <v>20</v>
      </c>
    </row>
    <row r="154" spans="2:15">
      <c r="B154">
        <v>4</v>
      </c>
      <c r="C154" t="s">
        <v>15</v>
      </c>
      <c r="F154" t="str">
        <f t="shared" si="3"/>
        <v>骨化三醇软胶囊</v>
      </c>
      <c r="G154" t="s">
        <v>292</v>
      </c>
      <c r="H154"/>
      <c r="I154" t="s">
        <v>22</v>
      </c>
      <c r="J154" t="s">
        <v>23</v>
      </c>
      <c r="K154" t="s">
        <v>24</v>
      </c>
      <c r="L154"/>
      <c r="N154" t="s">
        <v>20</v>
      </c>
      <c r="O154" t="s">
        <v>20</v>
      </c>
    </row>
    <row r="155" spans="2:15">
      <c r="B155">
        <v>4</v>
      </c>
      <c r="C155" t="s">
        <v>15</v>
      </c>
      <c r="F155" t="str">
        <f t="shared" si="3"/>
        <v>骨化三醇软胶囊</v>
      </c>
      <c r="G155" t="s">
        <v>292</v>
      </c>
      <c r="H155"/>
      <c r="I155" t="s">
        <v>22</v>
      </c>
      <c r="J155" t="s">
        <v>293</v>
      </c>
      <c r="K155" t="s">
        <v>24</v>
      </c>
      <c r="L155"/>
      <c r="N155" t="s">
        <v>20</v>
      </c>
      <c r="O155" t="s">
        <v>20</v>
      </c>
    </row>
    <row r="156" spans="2:15">
      <c r="B156">
        <v>3</v>
      </c>
      <c r="C156" t="s">
        <v>59</v>
      </c>
      <c r="F156" t="str">
        <f t="shared" si="3"/>
        <v>海博麦布片</v>
      </c>
      <c r="G156" t="s">
        <v>294</v>
      </c>
      <c r="H156"/>
      <c r="I156" t="s">
        <v>32</v>
      </c>
      <c r="J156" t="s">
        <v>61</v>
      </c>
      <c r="K156" t="s">
        <v>28</v>
      </c>
      <c r="L156"/>
      <c r="N156" t="s">
        <v>20</v>
      </c>
      <c r="O156" t="s">
        <v>20</v>
      </c>
    </row>
    <row r="157" spans="2:15">
      <c r="B157">
        <v>4</v>
      </c>
      <c r="C157" t="s">
        <v>15</v>
      </c>
      <c r="F157" t="str">
        <f t="shared" si="3"/>
        <v>洛索洛芬钠片</v>
      </c>
      <c r="G157" t="s">
        <v>295</v>
      </c>
      <c r="H157"/>
      <c r="I157" t="s">
        <v>32</v>
      </c>
      <c r="J157" t="s">
        <v>147</v>
      </c>
      <c r="K157" t="s">
        <v>28</v>
      </c>
      <c r="L157"/>
      <c r="N157" t="s">
        <v>20</v>
      </c>
      <c r="O157" t="s">
        <v>20</v>
      </c>
    </row>
    <row r="158" spans="2:15">
      <c r="B158">
        <v>4</v>
      </c>
      <c r="C158" t="s">
        <v>15</v>
      </c>
      <c r="F158" t="str">
        <f t="shared" si="3"/>
        <v>马来酸依那普利叶酸片</v>
      </c>
      <c r="G158" t="s">
        <v>296</v>
      </c>
      <c r="H158"/>
      <c r="I158" t="s">
        <v>32</v>
      </c>
      <c r="J158" t="s">
        <v>297</v>
      </c>
      <c r="K158" t="s">
        <v>28</v>
      </c>
      <c r="L158"/>
      <c r="N158" t="s">
        <v>20</v>
      </c>
      <c r="O158" t="s">
        <v>20</v>
      </c>
    </row>
    <row r="159" spans="2:15">
      <c r="B159">
        <v>3</v>
      </c>
      <c r="C159" t="s">
        <v>59</v>
      </c>
      <c r="F159" t="str">
        <f t="shared" si="3"/>
        <v>荷丹胶囊</v>
      </c>
      <c r="G159" t="s">
        <v>298</v>
      </c>
      <c r="H159"/>
      <c r="I159" t="s">
        <v>22</v>
      </c>
      <c r="J159" t="s">
        <v>299</v>
      </c>
      <c r="K159" t="s">
        <v>19</v>
      </c>
      <c r="L159"/>
      <c r="N159" t="s">
        <v>20</v>
      </c>
      <c r="O159" t="s">
        <v>20</v>
      </c>
    </row>
    <row r="160" spans="2:15">
      <c r="B160">
        <v>1</v>
      </c>
      <c r="C160" t="s">
        <v>25</v>
      </c>
      <c r="F160" t="str">
        <f t="shared" si="3"/>
        <v>恒格列净二甲双胍缓释片(I）</v>
      </c>
      <c r="G160" t="s">
        <v>300</v>
      </c>
      <c r="H160"/>
      <c r="I160" t="s">
        <v>32</v>
      </c>
      <c r="J160" t="s">
        <v>301</v>
      </c>
      <c r="K160" t="s">
        <v>28</v>
      </c>
      <c r="L160"/>
      <c r="N160" t="s">
        <v>142</v>
      </c>
      <c r="O160" t="s">
        <v>143</v>
      </c>
    </row>
    <row r="161" spans="2:15">
      <c r="B161">
        <v>1</v>
      </c>
      <c r="C161" t="s">
        <v>25</v>
      </c>
      <c r="F161" t="str">
        <f t="shared" si="3"/>
        <v>恒格列净二甲双胍缓释片(II)</v>
      </c>
      <c r="G161" t="s">
        <v>302</v>
      </c>
      <c r="H161"/>
      <c r="I161" t="s">
        <v>32</v>
      </c>
      <c r="J161" t="s">
        <v>303</v>
      </c>
      <c r="K161" t="s">
        <v>28</v>
      </c>
      <c r="L161"/>
      <c r="N161" t="s">
        <v>20</v>
      </c>
      <c r="O161" t="s">
        <v>20</v>
      </c>
    </row>
    <row r="162" spans="2:15">
      <c r="B162">
        <v>4</v>
      </c>
      <c r="C162" t="s">
        <v>15</v>
      </c>
      <c r="F162" t="str">
        <f t="shared" si="3"/>
        <v>沙美特罗替卡松吸入粉雾剂</v>
      </c>
      <c r="G162" t="s">
        <v>304</v>
      </c>
      <c r="H162"/>
      <c r="I162" t="s">
        <v>305</v>
      </c>
      <c r="J162" t="s">
        <v>306</v>
      </c>
      <c r="K162" t="s">
        <v>24</v>
      </c>
      <c r="L162"/>
      <c r="N162" t="s">
        <v>20</v>
      </c>
      <c r="O162" t="s">
        <v>20</v>
      </c>
    </row>
    <row r="163" spans="2:15">
      <c r="B163">
        <v>2</v>
      </c>
      <c r="C163" t="s">
        <v>36</v>
      </c>
      <c r="F163" t="str">
        <f t="shared" si="3"/>
        <v>琥珀酸美托洛尔缓释片</v>
      </c>
      <c r="G163" t="s">
        <v>307</v>
      </c>
      <c r="H163"/>
      <c r="I163" t="s">
        <v>32</v>
      </c>
      <c r="J163" t="s">
        <v>308</v>
      </c>
      <c r="K163" t="s">
        <v>28</v>
      </c>
      <c r="L163"/>
      <c r="N163" t="s">
        <v>20</v>
      </c>
      <c r="O163" t="s">
        <v>20</v>
      </c>
    </row>
    <row r="164" spans="2:15">
      <c r="B164">
        <v>4</v>
      </c>
      <c r="C164" t="s">
        <v>15</v>
      </c>
      <c r="F164" t="str">
        <f t="shared" si="3"/>
        <v>甲硝唑片</v>
      </c>
      <c r="G164" t="s">
        <v>309</v>
      </c>
      <c r="H164"/>
      <c r="I164" t="s">
        <v>32</v>
      </c>
      <c r="J164" t="s">
        <v>115</v>
      </c>
      <c r="K164" t="s">
        <v>19</v>
      </c>
      <c r="L164"/>
      <c r="N164" t="s">
        <v>20</v>
      </c>
      <c r="O164" t="s">
        <v>20</v>
      </c>
    </row>
    <row r="165" spans="2:15">
      <c r="B165">
        <v>4</v>
      </c>
      <c r="C165" t="s">
        <v>15</v>
      </c>
      <c r="F165" t="str">
        <f t="shared" si="3"/>
        <v>护肝宁片</v>
      </c>
      <c r="G165" t="s">
        <v>310</v>
      </c>
      <c r="H165"/>
      <c r="I165" t="s">
        <v>32</v>
      </c>
      <c r="J165" t="s">
        <v>311</v>
      </c>
      <c r="K165" t="s">
        <v>19</v>
      </c>
      <c r="L165"/>
      <c r="N165" t="s">
        <v>20</v>
      </c>
      <c r="O165" t="s">
        <v>20</v>
      </c>
    </row>
    <row r="166" spans="2:15">
      <c r="B166">
        <v>4</v>
      </c>
      <c r="C166" t="s">
        <v>15</v>
      </c>
      <c r="F166" t="str">
        <f t="shared" si="3"/>
        <v>黄葵胶囊</v>
      </c>
      <c r="G166" t="s">
        <v>312</v>
      </c>
      <c r="H166"/>
      <c r="I166" t="s">
        <v>22</v>
      </c>
      <c r="J166" t="s">
        <v>313</v>
      </c>
      <c r="K166" t="s">
        <v>19</v>
      </c>
      <c r="L166"/>
      <c r="N166" t="s">
        <v>20</v>
      </c>
      <c r="O166" t="s">
        <v>20</v>
      </c>
    </row>
    <row r="167" spans="2:15">
      <c r="B167">
        <v>4</v>
      </c>
      <c r="C167" t="s">
        <v>15</v>
      </c>
      <c r="F167" t="str">
        <f t="shared" si="3"/>
        <v>至灵胶囊</v>
      </c>
      <c r="G167" t="s">
        <v>314</v>
      </c>
      <c r="H167"/>
      <c r="I167" t="s">
        <v>22</v>
      </c>
      <c r="J167" t="s">
        <v>122</v>
      </c>
      <c r="K167" t="s">
        <v>19</v>
      </c>
      <c r="L167"/>
      <c r="N167" t="s">
        <v>20</v>
      </c>
      <c r="O167" t="s">
        <v>20</v>
      </c>
    </row>
    <row r="168" spans="2:15">
      <c r="B168">
        <v>3</v>
      </c>
      <c r="C168" t="s">
        <v>59</v>
      </c>
      <c r="F168" t="str">
        <f t="shared" si="3"/>
        <v>肌醇烟酸酯片</v>
      </c>
      <c r="G168" t="s">
        <v>315</v>
      </c>
      <c r="H168"/>
      <c r="I168" t="s">
        <v>32</v>
      </c>
      <c r="J168" t="s">
        <v>115</v>
      </c>
      <c r="K168" t="s">
        <v>19</v>
      </c>
      <c r="N168" t="s">
        <v>20</v>
      </c>
      <c r="O168" t="s">
        <v>20</v>
      </c>
    </row>
    <row r="169" spans="2:15">
      <c r="B169">
        <v>3</v>
      </c>
      <c r="C169" t="s">
        <v>59</v>
      </c>
      <c r="F169" t="str">
        <f t="shared" si="3"/>
        <v>吉非罗齐胶囊</v>
      </c>
      <c r="G169" t="s">
        <v>316</v>
      </c>
      <c r="H169"/>
      <c r="I169" t="s">
        <v>22</v>
      </c>
      <c r="J169" t="s">
        <v>234</v>
      </c>
      <c r="K169" t="s">
        <v>19</v>
      </c>
      <c r="N169" t="s">
        <v>20</v>
      </c>
      <c r="O169" t="s">
        <v>20</v>
      </c>
    </row>
    <row r="170" spans="2:15">
      <c r="B170">
        <v>4</v>
      </c>
      <c r="C170" t="s">
        <v>15</v>
      </c>
      <c r="F170" t="str">
        <f t="shared" si="3"/>
        <v>己酮可可碱缓释片</v>
      </c>
      <c r="G170" t="s">
        <v>317</v>
      </c>
      <c r="H170"/>
      <c r="I170" t="s">
        <v>32</v>
      </c>
      <c r="J170" t="s">
        <v>128</v>
      </c>
      <c r="K170" t="s">
        <v>19</v>
      </c>
      <c r="L170"/>
      <c r="N170" t="s">
        <v>20</v>
      </c>
      <c r="O170" t="s">
        <v>20</v>
      </c>
    </row>
    <row r="171" spans="2:15">
      <c r="B171">
        <v>4</v>
      </c>
      <c r="C171" t="s">
        <v>15</v>
      </c>
      <c r="F171" t="str">
        <f t="shared" si="3"/>
        <v>尼美舒利片</v>
      </c>
      <c r="G171" t="s">
        <v>318</v>
      </c>
      <c r="H171"/>
      <c r="I171" t="s">
        <v>32</v>
      </c>
      <c r="J171" t="s">
        <v>65</v>
      </c>
      <c r="K171" t="s">
        <v>19</v>
      </c>
      <c r="L171"/>
      <c r="N171" t="s">
        <v>20</v>
      </c>
      <c r="O171" t="s">
        <v>20</v>
      </c>
    </row>
    <row r="172" spans="2:15">
      <c r="B172">
        <v>4</v>
      </c>
      <c r="C172" t="s">
        <v>15</v>
      </c>
      <c r="F172" t="str">
        <f t="shared" si="3"/>
        <v>甲钴胺分散片</v>
      </c>
      <c r="G172" t="s">
        <v>319</v>
      </c>
      <c r="H172"/>
      <c r="I172" t="s">
        <v>32</v>
      </c>
      <c r="J172" t="s">
        <v>192</v>
      </c>
      <c r="K172" t="s">
        <v>28</v>
      </c>
      <c r="L172"/>
      <c r="N172" t="s">
        <v>20</v>
      </c>
      <c r="O172" t="s">
        <v>20</v>
      </c>
    </row>
    <row r="173" spans="2:15">
      <c r="B173">
        <v>4</v>
      </c>
      <c r="C173" t="s">
        <v>15</v>
      </c>
      <c r="F173" t="str">
        <f t="shared" si="3"/>
        <v>甲钴胺胶囊</v>
      </c>
      <c r="G173" t="s">
        <v>320</v>
      </c>
      <c r="H173"/>
      <c r="I173" t="s">
        <v>22</v>
      </c>
      <c r="J173" t="s">
        <v>321</v>
      </c>
      <c r="K173" t="s">
        <v>28</v>
      </c>
      <c r="L173"/>
      <c r="N173" t="s">
        <v>20</v>
      </c>
      <c r="O173" t="s">
        <v>20</v>
      </c>
    </row>
    <row r="174" spans="2:15">
      <c r="B174">
        <v>4</v>
      </c>
      <c r="C174" t="s">
        <v>15</v>
      </c>
      <c r="F174" t="str">
        <f t="shared" si="3"/>
        <v>甲钴胺片</v>
      </c>
      <c r="G174" t="s">
        <v>322</v>
      </c>
      <c r="H174"/>
      <c r="I174" t="s">
        <v>32</v>
      </c>
      <c r="J174" t="s">
        <v>192</v>
      </c>
      <c r="K174" t="s">
        <v>28</v>
      </c>
      <c r="L174"/>
      <c r="N174" t="s">
        <v>20</v>
      </c>
      <c r="O174" t="s">
        <v>20</v>
      </c>
    </row>
    <row r="175" spans="2:15">
      <c r="B175">
        <v>2</v>
      </c>
      <c r="C175" t="s">
        <v>36</v>
      </c>
      <c r="F175" t="str">
        <f t="shared" si="3"/>
        <v>甲磺酸氨氯地平片</v>
      </c>
      <c r="G175" t="s">
        <v>323</v>
      </c>
      <c r="H175"/>
      <c r="I175" t="s">
        <v>32</v>
      </c>
      <c r="J175" t="s">
        <v>76</v>
      </c>
      <c r="K175" t="s">
        <v>28</v>
      </c>
      <c r="L175"/>
      <c r="N175" t="s">
        <v>20</v>
      </c>
      <c r="O175" t="s">
        <v>20</v>
      </c>
    </row>
    <row r="176" spans="2:15">
      <c r="B176">
        <v>4</v>
      </c>
      <c r="C176" t="s">
        <v>15</v>
      </c>
      <c r="F176" t="str">
        <f t="shared" si="3"/>
        <v>甲磺酸倍他司汀片</v>
      </c>
      <c r="G176" t="s">
        <v>324</v>
      </c>
      <c r="H176"/>
      <c r="I176" t="s">
        <v>32</v>
      </c>
      <c r="J176" t="s">
        <v>325</v>
      </c>
      <c r="K176" t="s">
        <v>28</v>
      </c>
      <c r="L176"/>
      <c r="N176" t="s">
        <v>20</v>
      </c>
      <c r="O176" t="s">
        <v>20</v>
      </c>
    </row>
    <row r="177" spans="2:15">
      <c r="B177">
        <v>4</v>
      </c>
      <c r="C177" t="s">
        <v>15</v>
      </c>
      <c r="F177" t="str">
        <f t="shared" si="3"/>
        <v>甲磺酸多沙唑嗪缓释片</v>
      </c>
      <c r="G177" t="s">
        <v>326</v>
      </c>
      <c r="H177"/>
      <c r="I177" t="s">
        <v>32</v>
      </c>
      <c r="J177" t="s">
        <v>327</v>
      </c>
      <c r="K177" t="s">
        <v>28</v>
      </c>
      <c r="L177"/>
      <c r="N177" t="s">
        <v>20</v>
      </c>
      <c r="O177" t="s">
        <v>20</v>
      </c>
    </row>
    <row r="178" spans="2:15">
      <c r="B178">
        <v>4</v>
      </c>
      <c r="C178" t="s">
        <v>15</v>
      </c>
      <c r="F178" t="str">
        <f t="shared" si="3"/>
        <v>甲磺酸溴隐亭片</v>
      </c>
      <c r="G178" t="s">
        <v>328</v>
      </c>
      <c r="H178"/>
      <c r="I178" t="s">
        <v>32</v>
      </c>
      <c r="J178" t="s">
        <v>106</v>
      </c>
      <c r="K178" t="s">
        <v>28</v>
      </c>
      <c r="L178"/>
      <c r="N178" t="s">
        <v>20</v>
      </c>
      <c r="O178" t="s">
        <v>20</v>
      </c>
    </row>
    <row r="179" spans="2:15">
      <c r="B179">
        <v>4</v>
      </c>
      <c r="C179" t="s">
        <v>15</v>
      </c>
      <c r="F179" t="str">
        <f t="shared" si="3"/>
        <v>糖脉康颗粒</v>
      </c>
      <c r="G179" t="s">
        <v>329</v>
      </c>
      <c r="H179"/>
      <c r="I179" t="s">
        <v>17</v>
      </c>
      <c r="J179" t="s">
        <v>174</v>
      </c>
      <c r="K179" t="s">
        <v>19</v>
      </c>
      <c r="L179"/>
      <c r="N179" t="s">
        <v>20</v>
      </c>
      <c r="O179" t="s">
        <v>20</v>
      </c>
    </row>
    <row r="180" spans="2:15">
      <c r="B180">
        <v>4</v>
      </c>
      <c r="C180" t="s">
        <v>15</v>
      </c>
      <c r="F180" t="str">
        <f t="shared" si="3"/>
        <v>甲泼尼龙片</v>
      </c>
      <c r="G180" t="s">
        <v>330</v>
      </c>
      <c r="H180"/>
      <c r="I180" t="s">
        <v>32</v>
      </c>
      <c r="J180" t="s">
        <v>327</v>
      </c>
      <c r="K180" t="s">
        <v>28</v>
      </c>
      <c r="L180"/>
      <c r="N180" t="s">
        <v>20</v>
      </c>
      <c r="O180" t="s">
        <v>20</v>
      </c>
    </row>
    <row r="181" spans="2:15">
      <c r="B181">
        <v>4</v>
      </c>
      <c r="C181" t="s">
        <v>15</v>
      </c>
      <c r="F181" t="str">
        <f t="shared" si="3"/>
        <v>甲巯咪唑片</v>
      </c>
      <c r="G181" t="s">
        <v>331</v>
      </c>
      <c r="H181"/>
      <c r="I181" t="s">
        <v>32</v>
      </c>
      <c r="J181" t="s">
        <v>61</v>
      </c>
      <c r="K181" t="s">
        <v>28</v>
      </c>
      <c r="L181"/>
      <c r="N181" t="s">
        <v>20</v>
      </c>
      <c r="O181" t="s">
        <v>20</v>
      </c>
    </row>
    <row r="182" spans="2:15">
      <c r="B182">
        <v>4</v>
      </c>
      <c r="C182" t="s">
        <v>15</v>
      </c>
      <c r="F182" t="str">
        <f t="shared" si="3"/>
        <v>双歧杆菌活菌胶囊</v>
      </c>
      <c r="G182" t="s">
        <v>332</v>
      </c>
      <c r="H182"/>
      <c r="I182" t="s">
        <v>22</v>
      </c>
      <c r="J182" t="s">
        <v>333</v>
      </c>
      <c r="K182" t="s">
        <v>19</v>
      </c>
      <c r="L182"/>
      <c r="N182" t="s">
        <v>20</v>
      </c>
      <c r="O182" t="s">
        <v>20</v>
      </c>
    </row>
    <row r="183" spans="2:15">
      <c r="B183">
        <v>4</v>
      </c>
      <c r="C183" t="s">
        <v>15</v>
      </c>
      <c r="F183" t="str">
        <f t="shared" si="3"/>
        <v>津力达颗粒</v>
      </c>
      <c r="G183" t="s">
        <v>334</v>
      </c>
      <c r="H183"/>
      <c r="I183" t="s">
        <v>17</v>
      </c>
      <c r="J183" t="s">
        <v>335</v>
      </c>
      <c r="K183" t="s">
        <v>19</v>
      </c>
      <c r="L183"/>
      <c r="N183" t="s">
        <v>20</v>
      </c>
      <c r="O183" t="s">
        <v>20</v>
      </c>
    </row>
    <row r="184" spans="2:15">
      <c r="B184">
        <v>14</v>
      </c>
      <c r="C184" t="s">
        <v>149</v>
      </c>
      <c r="D184" t="s">
        <v>336</v>
      </c>
      <c r="F184" t="str">
        <f t="shared" si="3"/>
        <v>精蛋白人胰岛素注射液</v>
      </c>
      <c r="G184" t="s">
        <v>337</v>
      </c>
      <c r="H184"/>
      <c r="I184" t="s">
        <v>139</v>
      </c>
      <c r="J184" t="s">
        <v>152</v>
      </c>
      <c r="K184" t="s">
        <v>139</v>
      </c>
      <c r="L184"/>
      <c r="N184" t="s">
        <v>338</v>
      </c>
      <c r="O184" t="s">
        <v>339</v>
      </c>
    </row>
    <row r="185" spans="2:15">
      <c r="B185">
        <v>13</v>
      </c>
      <c r="C185" t="s">
        <v>149</v>
      </c>
      <c r="D185" t="s">
        <v>150</v>
      </c>
      <c r="F185" t="str">
        <f t="shared" si="3"/>
        <v>精蛋白人胰岛素混合注射液（30R)</v>
      </c>
      <c r="G185" t="s">
        <v>340</v>
      </c>
      <c r="H185"/>
      <c r="I185" t="s">
        <v>139</v>
      </c>
      <c r="J185" t="s">
        <v>152</v>
      </c>
      <c r="K185" t="s">
        <v>139</v>
      </c>
      <c r="L185"/>
      <c r="N185" t="s">
        <v>153</v>
      </c>
      <c r="O185" t="s">
        <v>154</v>
      </c>
    </row>
    <row r="186" spans="2:15">
      <c r="B186">
        <v>13</v>
      </c>
      <c r="C186" t="s">
        <v>149</v>
      </c>
      <c r="D186" t="s">
        <v>150</v>
      </c>
      <c r="F186" t="str">
        <f t="shared" si="3"/>
        <v>精蛋白人胰岛素混合注射液(50R)</v>
      </c>
      <c r="G186" t="s">
        <v>341</v>
      </c>
      <c r="H186"/>
      <c r="I186" t="s">
        <v>139</v>
      </c>
      <c r="J186" t="s">
        <v>152</v>
      </c>
      <c r="K186" t="s">
        <v>139</v>
      </c>
      <c r="L186"/>
      <c r="N186" t="s">
        <v>153</v>
      </c>
      <c r="O186" t="s">
        <v>154</v>
      </c>
    </row>
    <row r="187" spans="2:15">
      <c r="B187">
        <v>13</v>
      </c>
      <c r="C187" t="s">
        <v>149</v>
      </c>
      <c r="D187" t="s">
        <v>150</v>
      </c>
      <c r="F187" t="str">
        <f t="shared" si="3"/>
        <v>精蛋白锌重组赖脯胰岛素混合注射液(25R)</v>
      </c>
      <c r="G187" t="s">
        <v>342</v>
      </c>
      <c r="H187"/>
      <c r="I187" t="s">
        <v>139</v>
      </c>
      <c r="J187" t="s">
        <v>152</v>
      </c>
      <c r="K187" t="s">
        <v>139</v>
      </c>
      <c r="L187"/>
      <c r="N187" t="s">
        <v>153</v>
      </c>
      <c r="O187" t="s">
        <v>154</v>
      </c>
    </row>
    <row r="188" spans="2:15">
      <c r="B188">
        <v>13</v>
      </c>
      <c r="C188" t="s">
        <v>149</v>
      </c>
      <c r="D188" t="s">
        <v>150</v>
      </c>
      <c r="F188" t="str">
        <f t="shared" si="3"/>
        <v>精蛋白锌重组赖脯胰岛素混合注射液(50R)</v>
      </c>
      <c r="G188" t="s">
        <v>343</v>
      </c>
      <c r="H188"/>
      <c r="I188" t="s">
        <v>139</v>
      </c>
      <c r="J188" t="s">
        <v>152</v>
      </c>
      <c r="K188" t="s">
        <v>139</v>
      </c>
      <c r="L188"/>
      <c r="N188" t="s">
        <v>153</v>
      </c>
      <c r="O188" t="s">
        <v>154</v>
      </c>
    </row>
    <row r="189" spans="2:15">
      <c r="B189">
        <v>13</v>
      </c>
      <c r="C189" t="s">
        <v>149</v>
      </c>
      <c r="D189" t="s">
        <v>150</v>
      </c>
      <c r="F189" t="str">
        <f t="shared" si="3"/>
        <v>精蛋白人胰岛素混合注射液（40R）</v>
      </c>
      <c r="G189" t="s">
        <v>344</v>
      </c>
      <c r="H189"/>
      <c r="I189" t="s">
        <v>139</v>
      </c>
      <c r="J189" t="s">
        <v>152</v>
      </c>
      <c r="K189" t="s">
        <v>139</v>
      </c>
      <c r="L189"/>
      <c r="N189" t="s">
        <v>153</v>
      </c>
      <c r="O189" t="s">
        <v>154</v>
      </c>
    </row>
    <row r="190" spans="2:15">
      <c r="B190">
        <v>4</v>
      </c>
      <c r="C190" t="s">
        <v>15</v>
      </c>
      <c r="F190" t="str">
        <f t="shared" si="3"/>
        <v>精制银翘解毒片</v>
      </c>
      <c r="G190" t="s">
        <v>345</v>
      </c>
      <c r="H190"/>
      <c r="I190" t="s">
        <v>32</v>
      </c>
      <c r="J190" t="s">
        <v>54</v>
      </c>
      <c r="K190" t="s">
        <v>19</v>
      </c>
      <c r="L190"/>
      <c r="N190" t="s">
        <v>20</v>
      </c>
      <c r="O190" t="s">
        <v>20</v>
      </c>
    </row>
    <row r="191" spans="2:15">
      <c r="B191">
        <v>2</v>
      </c>
      <c r="C191" t="s">
        <v>36</v>
      </c>
      <c r="F191" t="str">
        <f t="shared" si="3"/>
        <v>酒石酸美托洛尔片</v>
      </c>
      <c r="G191" t="s">
        <v>346</v>
      </c>
      <c r="H191"/>
      <c r="I191" t="s">
        <v>32</v>
      </c>
      <c r="J191" t="s">
        <v>108</v>
      </c>
      <c r="K191" t="s">
        <v>28</v>
      </c>
      <c r="L191"/>
      <c r="N191" t="s">
        <v>20</v>
      </c>
      <c r="O191" t="s">
        <v>20</v>
      </c>
    </row>
    <row r="192" spans="2:15">
      <c r="B192">
        <v>4</v>
      </c>
      <c r="C192" t="s">
        <v>15</v>
      </c>
      <c r="F192" t="str">
        <f t="shared" si="3"/>
        <v>酒石酸唑吡坦片</v>
      </c>
      <c r="G192" t="s">
        <v>347</v>
      </c>
      <c r="H192"/>
      <c r="I192" t="s">
        <v>32</v>
      </c>
      <c r="J192" t="s">
        <v>61</v>
      </c>
      <c r="K192" t="s">
        <v>28</v>
      </c>
      <c r="L192"/>
      <c r="N192" t="s">
        <v>20</v>
      </c>
      <c r="O192" t="s">
        <v>20</v>
      </c>
    </row>
    <row r="193" spans="2:15">
      <c r="B193">
        <v>16</v>
      </c>
      <c r="C193" t="s">
        <v>66</v>
      </c>
      <c r="D193" t="s">
        <v>67</v>
      </c>
      <c r="F193" t="str">
        <f t="shared" si="3"/>
        <v>聚乙二醇洛塞那肽注射液</v>
      </c>
      <c r="G193" t="s">
        <v>348</v>
      </c>
      <c r="H193"/>
      <c r="I193" t="s">
        <v>137</v>
      </c>
      <c r="J193" t="s">
        <v>349</v>
      </c>
      <c r="K193" t="s">
        <v>28</v>
      </c>
      <c r="L193"/>
      <c r="N193" t="s">
        <v>70</v>
      </c>
      <c r="O193" t="s">
        <v>350</v>
      </c>
    </row>
    <row r="194" spans="2:15">
      <c r="B194">
        <v>16</v>
      </c>
      <c r="C194" t="s">
        <v>66</v>
      </c>
      <c r="D194" t="s">
        <v>67</v>
      </c>
      <c r="F194" t="str">
        <f t="shared" si="3"/>
        <v>聚乙二醇洛塞那肽注射液</v>
      </c>
      <c r="G194" t="s">
        <v>348</v>
      </c>
      <c r="H194"/>
      <c r="I194" t="s">
        <v>137</v>
      </c>
      <c r="J194" t="s">
        <v>351</v>
      </c>
      <c r="K194" t="s">
        <v>28</v>
      </c>
      <c r="L194"/>
      <c r="N194" t="s">
        <v>70</v>
      </c>
      <c r="O194" t="s">
        <v>350</v>
      </c>
    </row>
    <row r="195" spans="2:15">
      <c r="B195">
        <v>1</v>
      </c>
      <c r="C195" t="s">
        <v>25</v>
      </c>
      <c r="F195" t="str">
        <f t="shared" si="3"/>
        <v>卡格列净片</v>
      </c>
      <c r="G195" t="s">
        <v>352</v>
      </c>
      <c r="H195"/>
      <c r="I195" t="s">
        <v>32</v>
      </c>
      <c r="J195" t="s">
        <v>35</v>
      </c>
      <c r="K195" t="s">
        <v>28</v>
      </c>
      <c r="L195"/>
      <c r="N195" t="s">
        <v>77</v>
      </c>
      <c r="O195" t="s">
        <v>78</v>
      </c>
    </row>
    <row r="196" spans="2:15">
      <c r="B196">
        <v>2</v>
      </c>
      <c r="C196" t="s">
        <v>36</v>
      </c>
      <c r="F196" t="str">
        <f t="shared" ref="F196:F252" si="4">G196</f>
        <v>卡托普利片</v>
      </c>
      <c r="G196" t="s">
        <v>353</v>
      </c>
      <c r="H196"/>
      <c r="I196" t="s">
        <v>32</v>
      </c>
      <c r="J196" t="s">
        <v>108</v>
      </c>
      <c r="K196" t="s">
        <v>28</v>
      </c>
      <c r="L196"/>
      <c r="N196" t="s">
        <v>20</v>
      </c>
      <c r="O196" t="s">
        <v>20</v>
      </c>
    </row>
    <row r="197" spans="2:15">
      <c r="B197">
        <v>2</v>
      </c>
      <c r="C197" t="s">
        <v>36</v>
      </c>
      <c r="F197" t="str">
        <f t="shared" si="4"/>
        <v>卡维地洛片</v>
      </c>
      <c r="G197" t="s">
        <v>354</v>
      </c>
      <c r="H197"/>
      <c r="I197" t="s">
        <v>32</v>
      </c>
      <c r="J197" t="s">
        <v>355</v>
      </c>
      <c r="K197" t="s">
        <v>28</v>
      </c>
      <c r="L197"/>
      <c r="N197" t="s">
        <v>20</v>
      </c>
      <c r="O197" t="s">
        <v>20</v>
      </c>
    </row>
    <row r="198" spans="2:15">
      <c r="B198">
        <v>4</v>
      </c>
      <c r="C198" t="s">
        <v>15</v>
      </c>
      <c r="F198" t="str">
        <f t="shared" si="4"/>
        <v>双歧杆菌乳杆菌三联活菌片</v>
      </c>
      <c r="G198" t="s">
        <v>356</v>
      </c>
      <c r="H198"/>
      <c r="I198" t="s">
        <v>32</v>
      </c>
      <c r="J198" t="s">
        <v>279</v>
      </c>
      <c r="K198" t="s">
        <v>19</v>
      </c>
      <c r="L198"/>
      <c r="N198" t="s">
        <v>20</v>
      </c>
      <c r="O198" t="s">
        <v>20</v>
      </c>
    </row>
    <row r="199" spans="2:15">
      <c r="B199">
        <v>2</v>
      </c>
      <c r="C199" t="s">
        <v>36</v>
      </c>
      <c r="F199" t="str">
        <f t="shared" si="4"/>
        <v>坎地沙坦酯片</v>
      </c>
      <c r="G199" t="s">
        <v>357</v>
      </c>
      <c r="H199"/>
      <c r="I199" t="s">
        <v>32</v>
      </c>
      <c r="J199" t="s">
        <v>358</v>
      </c>
      <c r="K199" t="s">
        <v>28</v>
      </c>
      <c r="L199"/>
      <c r="N199" t="s">
        <v>20</v>
      </c>
      <c r="O199" t="s">
        <v>20</v>
      </c>
    </row>
    <row r="200" spans="2:15">
      <c r="B200">
        <v>1</v>
      </c>
      <c r="C200" t="s">
        <v>25</v>
      </c>
      <c r="F200" t="str">
        <f t="shared" si="4"/>
        <v>考格列汀片</v>
      </c>
      <c r="G200" t="s">
        <v>359</v>
      </c>
      <c r="H200"/>
      <c r="I200" t="s">
        <v>32</v>
      </c>
      <c r="J200" t="s">
        <v>76</v>
      </c>
      <c r="K200" t="s">
        <v>28</v>
      </c>
      <c r="L200"/>
      <c r="N200" t="s">
        <v>109</v>
      </c>
      <c r="O200" t="s">
        <v>110</v>
      </c>
    </row>
    <row r="201" spans="2:15">
      <c r="B201">
        <v>2</v>
      </c>
      <c r="C201" t="s">
        <v>36</v>
      </c>
      <c r="F201" t="str">
        <f t="shared" si="4"/>
        <v>拉西地平片</v>
      </c>
      <c r="G201" t="s">
        <v>360</v>
      </c>
      <c r="H201"/>
      <c r="I201" t="s">
        <v>32</v>
      </c>
      <c r="J201" t="s">
        <v>327</v>
      </c>
      <c r="K201" t="s">
        <v>28</v>
      </c>
      <c r="L201"/>
      <c r="N201" t="s">
        <v>20</v>
      </c>
      <c r="O201" t="s">
        <v>20</v>
      </c>
    </row>
    <row r="202" spans="2:15">
      <c r="B202">
        <v>2</v>
      </c>
      <c r="C202" t="s">
        <v>36</v>
      </c>
      <c r="F202" t="str">
        <f t="shared" si="4"/>
        <v>赖诺普利氢氯噻嗪片</v>
      </c>
      <c r="G202" t="s">
        <v>361</v>
      </c>
      <c r="H202"/>
      <c r="I202" t="s">
        <v>32</v>
      </c>
      <c r="J202" t="s">
        <v>362</v>
      </c>
      <c r="K202" t="s">
        <v>28</v>
      </c>
      <c r="L202"/>
      <c r="N202" t="s">
        <v>20</v>
      </c>
      <c r="O202" t="s">
        <v>20</v>
      </c>
    </row>
    <row r="203" spans="2:15">
      <c r="B203">
        <v>4</v>
      </c>
      <c r="C203" t="s">
        <v>15</v>
      </c>
      <c r="F203" t="str">
        <f t="shared" si="4"/>
        <v>兰索拉唑肠溶胶囊</v>
      </c>
      <c r="G203" t="s">
        <v>363</v>
      </c>
      <c r="H203"/>
      <c r="I203" t="s">
        <v>32</v>
      </c>
      <c r="J203" t="s">
        <v>265</v>
      </c>
      <c r="K203" t="s">
        <v>28</v>
      </c>
      <c r="L203"/>
      <c r="N203" t="s">
        <v>20</v>
      </c>
      <c r="O203" t="s">
        <v>20</v>
      </c>
    </row>
    <row r="204" spans="2:15">
      <c r="B204">
        <v>4</v>
      </c>
      <c r="C204" t="s">
        <v>15</v>
      </c>
      <c r="F204" t="str">
        <f t="shared" si="4"/>
        <v>兰索拉唑口崩片</v>
      </c>
      <c r="G204" t="s">
        <v>364</v>
      </c>
      <c r="H204"/>
      <c r="I204" t="s">
        <v>32</v>
      </c>
      <c r="J204" t="s">
        <v>265</v>
      </c>
      <c r="K204" t="s">
        <v>28</v>
      </c>
      <c r="L204"/>
      <c r="N204" t="s">
        <v>20</v>
      </c>
      <c r="O204" t="s">
        <v>20</v>
      </c>
    </row>
    <row r="205" spans="2:15">
      <c r="B205">
        <v>4</v>
      </c>
      <c r="C205" t="s">
        <v>15</v>
      </c>
      <c r="F205" t="str">
        <f t="shared" si="4"/>
        <v>劳拉西泮片</v>
      </c>
      <c r="G205" t="s">
        <v>365</v>
      </c>
      <c r="H205"/>
      <c r="I205" t="s">
        <v>32</v>
      </c>
      <c r="J205" t="s">
        <v>74</v>
      </c>
      <c r="K205" t="s">
        <v>28</v>
      </c>
      <c r="L205"/>
      <c r="N205" t="s">
        <v>20</v>
      </c>
      <c r="O205" t="s">
        <v>20</v>
      </c>
    </row>
    <row r="206" spans="2:15">
      <c r="B206">
        <v>4</v>
      </c>
      <c r="C206" t="s">
        <v>15</v>
      </c>
      <c r="F206" t="str">
        <f t="shared" si="4"/>
        <v>雷贝拉唑钠肠溶胶囊</v>
      </c>
      <c r="G206" t="s">
        <v>366</v>
      </c>
      <c r="H206"/>
      <c r="I206" t="s">
        <v>22</v>
      </c>
      <c r="J206" t="s">
        <v>232</v>
      </c>
      <c r="K206" t="s">
        <v>28</v>
      </c>
      <c r="L206"/>
      <c r="N206" t="s">
        <v>20</v>
      </c>
      <c r="O206" t="s">
        <v>20</v>
      </c>
    </row>
    <row r="207" spans="2:15">
      <c r="B207">
        <v>4</v>
      </c>
      <c r="C207" t="s">
        <v>15</v>
      </c>
      <c r="F207" t="str">
        <f t="shared" si="4"/>
        <v>雷贝拉唑钠肠溶片</v>
      </c>
      <c r="G207" t="s">
        <v>367</v>
      </c>
      <c r="H207"/>
      <c r="I207" t="s">
        <v>32</v>
      </c>
      <c r="J207" t="s">
        <v>51</v>
      </c>
      <c r="K207" t="s">
        <v>28</v>
      </c>
      <c r="L207"/>
      <c r="N207" t="s">
        <v>20</v>
      </c>
      <c r="O207" t="s">
        <v>20</v>
      </c>
    </row>
    <row r="208" spans="2:15">
      <c r="B208">
        <v>4</v>
      </c>
      <c r="C208" t="s">
        <v>15</v>
      </c>
      <c r="F208" t="str">
        <f t="shared" si="4"/>
        <v>盐酸地尔硫卓片</v>
      </c>
      <c r="G208" t="s">
        <v>368</v>
      </c>
      <c r="H208"/>
      <c r="I208" t="s">
        <v>32</v>
      </c>
      <c r="J208" t="s">
        <v>265</v>
      </c>
      <c r="K208" t="s">
        <v>28</v>
      </c>
      <c r="L208"/>
      <c r="N208" t="s">
        <v>20</v>
      </c>
      <c r="O208" t="s">
        <v>20</v>
      </c>
    </row>
    <row r="209" spans="2:15">
      <c r="B209">
        <v>2</v>
      </c>
      <c r="C209" t="s">
        <v>36</v>
      </c>
      <c r="F209" t="str">
        <f t="shared" si="4"/>
        <v>雷米普利片</v>
      </c>
      <c r="G209" t="s">
        <v>369</v>
      </c>
      <c r="H209"/>
      <c r="I209" t="s">
        <v>32</v>
      </c>
      <c r="J209" t="s">
        <v>106</v>
      </c>
      <c r="K209" t="s">
        <v>28</v>
      </c>
      <c r="L209"/>
      <c r="N209" t="s">
        <v>20</v>
      </c>
      <c r="O209" t="s">
        <v>20</v>
      </c>
    </row>
    <row r="210" spans="2:15">
      <c r="B210">
        <v>2</v>
      </c>
      <c r="C210" t="s">
        <v>36</v>
      </c>
      <c r="F210" t="str">
        <f t="shared" si="4"/>
        <v>雷米普利片</v>
      </c>
      <c r="G210" t="s">
        <v>369</v>
      </c>
      <c r="H210"/>
      <c r="I210" t="s">
        <v>32</v>
      </c>
      <c r="J210" t="s">
        <v>76</v>
      </c>
      <c r="K210" t="s">
        <v>28</v>
      </c>
      <c r="L210"/>
      <c r="N210" t="s">
        <v>20</v>
      </c>
      <c r="O210" t="s">
        <v>20</v>
      </c>
    </row>
    <row r="211" spans="2:15">
      <c r="B211">
        <v>4</v>
      </c>
      <c r="C211" t="s">
        <v>15</v>
      </c>
      <c r="F211" t="str">
        <f t="shared" si="4"/>
        <v>利伐沙班片</v>
      </c>
      <c r="G211" t="s">
        <v>370</v>
      </c>
      <c r="H211"/>
      <c r="I211" t="s">
        <v>32</v>
      </c>
      <c r="J211" t="s">
        <v>51</v>
      </c>
      <c r="K211" t="s">
        <v>28</v>
      </c>
      <c r="L211"/>
      <c r="N211" t="s">
        <v>20</v>
      </c>
      <c r="O211" t="s">
        <v>20</v>
      </c>
    </row>
    <row r="212" spans="2:15">
      <c r="B212">
        <v>4</v>
      </c>
      <c r="C212" t="s">
        <v>15</v>
      </c>
      <c r="F212" t="str">
        <f t="shared" si="4"/>
        <v>利伐沙班片</v>
      </c>
      <c r="G212" t="s">
        <v>370</v>
      </c>
      <c r="H212"/>
      <c r="I212" t="s">
        <v>32</v>
      </c>
      <c r="J212" t="s">
        <v>61</v>
      </c>
      <c r="K212" t="s">
        <v>28</v>
      </c>
      <c r="L212"/>
      <c r="N212" t="s">
        <v>20</v>
      </c>
      <c r="O212" t="s">
        <v>20</v>
      </c>
    </row>
    <row r="213" spans="2:15">
      <c r="B213">
        <v>1</v>
      </c>
      <c r="C213" t="s">
        <v>25</v>
      </c>
      <c r="F213" t="str">
        <f t="shared" si="4"/>
        <v>利格列汀二甲双胍片(Ⅱ)</v>
      </c>
      <c r="G213" t="s">
        <v>371</v>
      </c>
      <c r="H213"/>
      <c r="I213" t="s">
        <v>32</v>
      </c>
      <c r="J213" t="s">
        <v>372</v>
      </c>
      <c r="K213" t="s">
        <v>28</v>
      </c>
      <c r="L213"/>
      <c r="N213" t="s">
        <v>203</v>
      </c>
      <c r="O213" t="s">
        <v>204</v>
      </c>
    </row>
    <row r="214" spans="2:15">
      <c r="B214">
        <v>1</v>
      </c>
      <c r="C214" t="s">
        <v>25</v>
      </c>
      <c r="F214" t="str">
        <f t="shared" si="4"/>
        <v>利格列汀片</v>
      </c>
      <c r="G214" t="s">
        <v>373</v>
      </c>
      <c r="H214"/>
      <c r="I214" t="s">
        <v>32</v>
      </c>
      <c r="J214" t="s">
        <v>76</v>
      </c>
      <c r="K214" t="s">
        <v>28</v>
      </c>
      <c r="L214"/>
      <c r="N214" t="s">
        <v>109</v>
      </c>
      <c r="O214" t="s">
        <v>110</v>
      </c>
    </row>
    <row r="215" spans="2:15">
      <c r="B215">
        <v>4</v>
      </c>
      <c r="C215" t="s">
        <v>15</v>
      </c>
      <c r="F215" t="str">
        <f t="shared" si="4"/>
        <v>利可君片</v>
      </c>
      <c r="G215" t="s">
        <v>374</v>
      </c>
      <c r="H215"/>
      <c r="I215" t="s">
        <v>32</v>
      </c>
      <c r="J215" t="s">
        <v>51</v>
      </c>
      <c r="K215" t="s">
        <v>28</v>
      </c>
      <c r="L215"/>
      <c r="N215" t="s">
        <v>20</v>
      </c>
      <c r="O215" t="s">
        <v>20</v>
      </c>
    </row>
    <row r="216" spans="2:15">
      <c r="B216">
        <v>16</v>
      </c>
      <c r="C216" t="s">
        <v>66</v>
      </c>
      <c r="D216" t="s">
        <v>67</v>
      </c>
      <c r="F216" t="str">
        <f t="shared" si="4"/>
        <v>利拉鲁肽注射液</v>
      </c>
      <c r="G216" t="s">
        <v>375</v>
      </c>
      <c r="H216"/>
      <c r="I216" t="s">
        <v>28</v>
      </c>
      <c r="J216" t="s">
        <v>376</v>
      </c>
      <c r="K216" t="s">
        <v>28</v>
      </c>
      <c r="L216"/>
      <c r="N216" t="s">
        <v>70</v>
      </c>
      <c r="O216" t="s">
        <v>377</v>
      </c>
    </row>
    <row r="217" spans="2:15">
      <c r="B217">
        <v>16</v>
      </c>
      <c r="C217" t="s">
        <v>66</v>
      </c>
      <c r="D217" t="s">
        <v>67</v>
      </c>
      <c r="F217" t="str">
        <f t="shared" si="4"/>
        <v>利司那肽注射液</v>
      </c>
      <c r="G217" t="s">
        <v>378</v>
      </c>
      <c r="H217"/>
      <c r="I217" t="s">
        <v>28</v>
      </c>
      <c r="J217" t="s">
        <v>379</v>
      </c>
      <c r="K217" t="s">
        <v>28</v>
      </c>
      <c r="L217"/>
      <c r="N217" t="s">
        <v>20</v>
      </c>
      <c r="O217" t="s">
        <v>20</v>
      </c>
    </row>
    <row r="218" spans="2:15">
      <c r="B218">
        <v>16</v>
      </c>
      <c r="C218" t="s">
        <v>66</v>
      </c>
      <c r="D218" t="s">
        <v>67</v>
      </c>
      <c r="F218" t="str">
        <f t="shared" si="4"/>
        <v>利司那肽注射液</v>
      </c>
      <c r="G218" t="s">
        <v>378</v>
      </c>
      <c r="H218"/>
      <c r="I218" t="s">
        <v>137</v>
      </c>
      <c r="J218" t="s">
        <v>380</v>
      </c>
      <c r="K218" t="s">
        <v>24</v>
      </c>
      <c r="L218"/>
      <c r="N218" t="s">
        <v>70</v>
      </c>
      <c r="O218" t="s">
        <v>381</v>
      </c>
    </row>
    <row r="219" spans="2:15">
      <c r="B219">
        <v>4</v>
      </c>
      <c r="C219" t="s">
        <v>15</v>
      </c>
      <c r="F219" t="str">
        <f t="shared" si="4"/>
        <v>养血清脑颗粒</v>
      </c>
      <c r="G219" t="s">
        <v>382</v>
      </c>
      <c r="H219"/>
      <c r="I219" t="s">
        <v>22</v>
      </c>
      <c r="J219" t="s">
        <v>383</v>
      </c>
      <c r="K219" t="s">
        <v>19</v>
      </c>
      <c r="L219"/>
      <c r="N219" t="s">
        <v>20</v>
      </c>
      <c r="O219" t="s">
        <v>20</v>
      </c>
    </row>
    <row r="220" spans="2:15">
      <c r="B220">
        <v>4</v>
      </c>
      <c r="C220" t="s">
        <v>15</v>
      </c>
      <c r="F220" t="str">
        <f t="shared" si="4"/>
        <v>罗沙司他胶囊</v>
      </c>
      <c r="G220" t="s">
        <v>384</v>
      </c>
      <c r="H220"/>
      <c r="I220" t="s">
        <v>22</v>
      </c>
      <c r="J220" t="s">
        <v>33</v>
      </c>
      <c r="K220" t="s">
        <v>28</v>
      </c>
      <c r="L220"/>
      <c r="N220" t="s">
        <v>20</v>
      </c>
      <c r="O220" t="s">
        <v>20</v>
      </c>
    </row>
    <row r="221" spans="2:15">
      <c r="B221">
        <v>4</v>
      </c>
      <c r="C221" t="s">
        <v>15</v>
      </c>
      <c r="F221" t="str">
        <f t="shared" si="4"/>
        <v>磷酸奥司他韦胶囊</v>
      </c>
      <c r="G221" t="s">
        <v>385</v>
      </c>
      <c r="H221"/>
      <c r="I221" t="s">
        <v>22</v>
      </c>
      <c r="J221" t="s">
        <v>56</v>
      </c>
      <c r="K221" t="s">
        <v>28</v>
      </c>
      <c r="L221"/>
      <c r="N221" t="s">
        <v>20</v>
      </c>
      <c r="O221" t="s">
        <v>20</v>
      </c>
    </row>
    <row r="222" spans="2:15">
      <c r="B222">
        <v>1</v>
      </c>
      <c r="C222" t="s">
        <v>25</v>
      </c>
      <c r="F222" t="str">
        <f t="shared" si="4"/>
        <v>磷酸西格列汀片</v>
      </c>
      <c r="G222" t="s">
        <v>386</v>
      </c>
      <c r="H222"/>
      <c r="I222" t="s">
        <v>32</v>
      </c>
      <c r="J222" t="s">
        <v>35</v>
      </c>
      <c r="K222" t="s">
        <v>28</v>
      </c>
      <c r="L222"/>
      <c r="N222" t="s">
        <v>109</v>
      </c>
      <c r="O222" t="s">
        <v>110</v>
      </c>
    </row>
    <row r="223" spans="2:15">
      <c r="B223">
        <v>4</v>
      </c>
      <c r="C223" t="s">
        <v>15</v>
      </c>
      <c r="F223" t="str">
        <f t="shared" si="4"/>
        <v>硫酸氢氯吡格雷片</v>
      </c>
      <c r="G223" t="s">
        <v>387</v>
      </c>
      <c r="H223"/>
      <c r="I223" t="s">
        <v>32</v>
      </c>
      <c r="J223" t="s">
        <v>187</v>
      </c>
      <c r="K223" t="s">
        <v>28</v>
      </c>
      <c r="L223"/>
      <c r="N223" t="s">
        <v>20</v>
      </c>
      <c r="O223" t="s">
        <v>20</v>
      </c>
    </row>
    <row r="224" spans="2:15">
      <c r="B224">
        <v>4</v>
      </c>
      <c r="C224" t="s">
        <v>15</v>
      </c>
      <c r="F224" t="str">
        <f t="shared" si="4"/>
        <v>硫酸氢氯吡格雷片</v>
      </c>
      <c r="G224" t="s">
        <v>387</v>
      </c>
      <c r="H224"/>
      <c r="I224" t="s">
        <v>32</v>
      </c>
      <c r="J224" t="s">
        <v>108</v>
      </c>
      <c r="K224" t="s">
        <v>28</v>
      </c>
      <c r="L224"/>
      <c r="N224" t="s">
        <v>20</v>
      </c>
      <c r="O224" t="s">
        <v>20</v>
      </c>
    </row>
    <row r="225" spans="2:15">
      <c r="B225">
        <v>4</v>
      </c>
      <c r="C225" t="s">
        <v>15</v>
      </c>
      <c r="F225" t="str">
        <f t="shared" si="4"/>
        <v>硫辛酸胶囊</v>
      </c>
      <c r="G225" t="s">
        <v>388</v>
      </c>
      <c r="H225"/>
      <c r="I225" t="s">
        <v>22</v>
      </c>
      <c r="J225" t="s">
        <v>167</v>
      </c>
      <c r="K225" t="s">
        <v>19</v>
      </c>
      <c r="L225"/>
      <c r="N225" t="s">
        <v>20</v>
      </c>
      <c r="O225" t="s">
        <v>20</v>
      </c>
    </row>
    <row r="226" spans="2:15">
      <c r="B226">
        <v>4</v>
      </c>
      <c r="C226" t="s">
        <v>15</v>
      </c>
      <c r="F226" t="str">
        <f t="shared" si="4"/>
        <v>硫辛酸胶囊</v>
      </c>
      <c r="G226" t="s">
        <v>388</v>
      </c>
      <c r="H226"/>
      <c r="I226" t="s">
        <v>22</v>
      </c>
      <c r="J226" t="s">
        <v>234</v>
      </c>
      <c r="K226" t="s">
        <v>19</v>
      </c>
      <c r="L226"/>
      <c r="N226" t="s">
        <v>20</v>
      </c>
      <c r="O226" t="s">
        <v>20</v>
      </c>
    </row>
    <row r="227" spans="2:15">
      <c r="B227">
        <v>4</v>
      </c>
      <c r="C227" t="s">
        <v>15</v>
      </c>
      <c r="F227" t="str">
        <f t="shared" si="4"/>
        <v>硫辛酸片</v>
      </c>
      <c r="G227" t="s">
        <v>389</v>
      </c>
      <c r="H227"/>
      <c r="I227" t="s">
        <v>32</v>
      </c>
      <c r="J227" t="s">
        <v>390</v>
      </c>
      <c r="K227" t="s">
        <v>19</v>
      </c>
      <c r="L227"/>
      <c r="N227" t="s">
        <v>20</v>
      </c>
      <c r="O227" t="s">
        <v>20</v>
      </c>
    </row>
    <row r="228" spans="2:15">
      <c r="B228">
        <v>4</v>
      </c>
      <c r="C228" t="s">
        <v>15</v>
      </c>
      <c r="F228" t="str">
        <f t="shared" si="4"/>
        <v>六味五灵片</v>
      </c>
      <c r="G228" t="s">
        <v>391</v>
      </c>
      <c r="H228"/>
      <c r="I228" t="s">
        <v>32</v>
      </c>
      <c r="J228" t="s">
        <v>279</v>
      </c>
      <c r="K228" t="s">
        <v>19</v>
      </c>
      <c r="L228"/>
      <c r="N228" t="s">
        <v>20</v>
      </c>
      <c r="O228" t="s">
        <v>20</v>
      </c>
    </row>
    <row r="229" spans="2:15">
      <c r="B229">
        <v>1</v>
      </c>
      <c r="C229" t="s">
        <v>25</v>
      </c>
      <c r="F229" t="str">
        <f t="shared" si="4"/>
        <v>罗格列酮片</v>
      </c>
      <c r="G229" t="s">
        <v>392</v>
      </c>
      <c r="H229"/>
      <c r="I229" t="s">
        <v>32</v>
      </c>
      <c r="J229" t="s">
        <v>327</v>
      </c>
      <c r="K229" t="s">
        <v>28</v>
      </c>
      <c r="L229"/>
      <c r="N229" t="s">
        <v>393</v>
      </c>
      <c r="O229" t="s">
        <v>394</v>
      </c>
    </row>
    <row r="230" spans="2:15">
      <c r="B230">
        <v>4</v>
      </c>
      <c r="C230" t="s">
        <v>15</v>
      </c>
      <c r="F230" t="str">
        <f t="shared" si="4"/>
        <v>罗红霉素片</v>
      </c>
      <c r="G230" t="s">
        <v>395</v>
      </c>
      <c r="H230"/>
      <c r="I230" t="s">
        <v>32</v>
      </c>
      <c r="J230" t="s">
        <v>396</v>
      </c>
      <c r="K230" t="s">
        <v>28</v>
      </c>
      <c r="L230"/>
      <c r="N230" t="s">
        <v>20</v>
      </c>
      <c r="O230" t="s">
        <v>20</v>
      </c>
    </row>
    <row r="231" spans="2:15">
      <c r="B231">
        <v>4</v>
      </c>
      <c r="C231" t="s">
        <v>15</v>
      </c>
      <c r="F231" t="str">
        <f t="shared" si="4"/>
        <v>盐酸氨基葡萄糖片</v>
      </c>
      <c r="G231" t="s">
        <v>397</v>
      </c>
      <c r="H231"/>
      <c r="I231" t="s">
        <v>32</v>
      </c>
      <c r="J231" t="s">
        <v>398</v>
      </c>
      <c r="K231" t="s">
        <v>19</v>
      </c>
      <c r="L231"/>
      <c r="N231" t="s">
        <v>20</v>
      </c>
      <c r="O231" t="s">
        <v>20</v>
      </c>
    </row>
    <row r="232" spans="2:15">
      <c r="B232">
        <v>4</v>
      </c>
      <c r="C232" t="s">
        <v>15</v>
      </c>
      <c r="F232" t="str">
        <f t="shared" si="4"/>
        <v>螺内酯片</v>
      </c>
      <c r="G232" t="s">
        <v>399</v>
      </c>
      <c r="H232"/>
      <c r="I232" t="s">
        <v>32</v>
      </c>
      <c r="J232" t="s">
        <v>51</v>
      </c>
      <c r="K232" t="s">
        <v>28</v>
      </c>
      <c r="L232"/>
      <c r="N232" t="s">
        <v>20</v>
      </c>
      <c r="O232" t="s">
        <v>20</v>
      </c>
    </row>
    <row r="233" spans="2:15">
      <c r="B233">
        <v>3</v>
      </c>
      <c r="C233" t="s">
        <v>59</v>
      </c>
      <c r="F233" t="str">
        <f t="shared" si="4"/>
        <v>洛伐他汀片</v>
      </c>
      <c r="G233" t="s">
        <v>400</v>
      </c>
      <c r="H233"/>
      <c r="I233" t="s">
        <v>32</v>
      </c>
      <c r="J233" t="s">
        <v>51</v>
      </c>
      <c r="K233" t="s">
        <v>28</v>
      </c>
      <c r="N233" t="s">
        <v>20</v>
      </c>
      <c r="O233" t="s">
        <v>20</v>
      </c>
    </row>
    <row r="234" spans="2:15">
      <c r="B234">
        <v>4</v>
      </c>
      <c r="C234" t="s">
        <v>15</v>
      </c>
      <c r="F234" t="str">
        <f t="shared" si="4"/>
        <v>头孢克洛颗粒</v>
      </c>
      <c r="G234" t="s">
        <v>401</v>
      </c>
      <c r="H234"/>
      <c r="I234" t="s">
        <v>32</v>
      </c>
      <c r="J234" t="s">
        <v>54</v>
      </c>
      <c r="K234" t="s">
        <v>19</v>
      </c>
      <c r="L234"/>
      <c r="N234" t="s">
        <v>20</v>
      </c>
      <c r="O234" t="s">
        <v>20</v>
      </c>
    </row>
    <row r="235" spans="2:15">
      <c r="B235">
        <v>4</v>
      </c>
      <c r="C235" t="s">
        <v>15</v>
      </c>
      <c r="F235" t="str">
        <f t="shared" si="4"/>
        <v>盐酸氨溴索片</v>
      </c>
      <c r="G235" t="s">
        <v>402</v>
      </c>
      <c r="H235"/>
      <c r="I235" t="s">
        <v>32</v>
      </c>
      <c r="J235" t="s">
        <v>265</v>
      </c>
      <c r="K235" t="s">
        <v>28</v>
      </c>
      <c r="L235"/>
      <c r="N235" t="s">
        <v>20</v>
      </c>
      <c r="O235" t="s">
        <v>20</v>
      </c>
    </row>
    <row r="236" spans="2:15">
      <c r="B236">
        <v>4</v>
      </c>
      <c r="C236" t="s">
        <v>15</v>
      </c>
      <c r="F236" t="str">
        <f t="shared" si="4"/>
        <v>铝镁匹林片（Ⅱ）</v>
      </c>
      <c r="G236" t="s">
        <v>403</v>
      </c>
      <c r="H236"/>
      <c r="I236" t="s">
        <v>32</v>
      </c>
      <c r="J236" t="s">
        <v>404</v>
      </c>
      <c r="K236" t="s">
        <v>28</v>
      </c>
      <c r="L236"/>
      <c r="N236" t="s">
        <v>20</v>
      </c>
      <c r="O236" t="s">
        <v>20</v>
      </c>
    </row>
    <row r="237" spans="2:15">
      <c r="B237">
        <v>4</v>
      </c>
      <c r="C237" t="s">
        <v>15</v>
      </c>
      <c r="F237" t="str">
        <f t="shared" si="4"/>
        <v>铝碳酸镁片</v>
      </c>
      <c r="G237" t="s">
        <v>405</v>
      </c>
      <c r="H237"/>
      <c r="I237" t="s">
        <v>32</v>
      </c>
      <c r="J237" t="s">
        <v>406</v>
      </c>
      <c r="K237" t="s">
        <v>28</v>
      </c>
      <c r="L237"/>
      <c r="N237" t="s">
        <v>20</v>
      </c>
      <c r="O237" t="s">
        <v>20</v>
      </c>
    </row>
    <row r="238" spans="2:15">
      <c r="B238">
        <v>4</v>
      </c>
      <c r="C238" t="s">
        <v>15</v>
      </c>
      <c r="F238" t="str">
        <f t="shared" si="4"/>
        <v>氯化钾缓释片</v>
      </c>
      <c r="G238" t="s">
        <v>407</v>
      </c>
      <c r="H238"/>
      <c r="I238" t="s">
        <v>32</v>
      </c>
      <c r="J238" t="s">
        <v>279</v>
      </c>
      <c r="K238" t="s">
        <v>19</v>
      </c>
      <c r="L238"/>
      <c r="N238" t="s">
        <v>20</v>
      </c>
      <c r="O238" t="s">
        <v>20</v>
      </c>
    </row>
    <row r="239" spans="2:15">
      <c r="B239">
        <v>4</v>
      </c>
      <c r="C239" t="s">
        <v>15</v>
      </c>
      <c r="F239" t="str">
        <f t="shared" si="4"/>
        <v>氯雷他定片</v>
      </c>
      <c r="G239" t="s">
        <v>408</v>
      </c>
      <c r="H239"/>
      <c r="I239" t="s">
        <v>32</v>
      </c>
      <c r="J239" t="s">
        <v>61</v>
      </c>
      <c r="K239" t="s">
        <v>28</v>
      </c>
      <c r="L239"/>
      <c r="N239" t="s">
        <v>20</v>
      </c>
      <c r="O239" t="s">
        <v>20</v>
      </c>
    </row>
    <row r="240" spans="2:15">
      <c r="B240">
        <v>2</v>
      </c>
      <c r="C240" t="s">
        <v>36</v>
      </c>
      <c r="F240" t="str">
        <f t="shared" si="4"/>
        <v>氯沙坦钾片</v>
      </c>
      <c r="G240" t="s">
        <v>409</v>
      </c>
      <c r="H240"/>
      <c r="I240" t="s">
        <v>32</v>
      </c>
      <c r="J240" t="s">
        <v>33</v>
      </c>
      <c r="K240" t="s">
        <v>28</v>
      </c>
      <c r="L240"/>
      <c r="N240" t="s">
        <v>20</v>
      </c>
      <c r="O240" t="s">
        <v>20</v>
      </c>
    </row>
    <row r="241" spans="2:15">
      <c r="B241">
        <v>2</v>
      </c>
      <c r="C241" t="s">
        <v>36</v>
      </c>
      <c r="F241" t="str">
        <f t="shared" si="4"/>
        <v>氯沙坦钾片</v>
      </c>
      <c r="G241" t="s">
        <v>409</v>
      </c>
      <c r="H241"/>
      <c r="I241" t="s">
        <v>32</v>
      </c>
      <c r="J241" t="s">
        <v>35</v>
      </c>
      <c r="K241" t="s">
        <v>28</v>
      </c>
      <c r="L241"/>
      <c r="N241" t="s">
        <v>20</v>
      </c>
      <c r="O241" t="s">
        <v>20</v>
      </c>
    </row>
    <row r="242" spans="2:15">
      <c r="B242">
        <v>2</v>
      </c>
      <c r="C242" t="s">
        <v>36</v>
      </c>
      <c r="F242" t="str">
        <f t="shared" si="4"/>
        <v>氯沙坦钾氢氯噻嗪片</v>
      </c>
      <c r="G242" t="s">
        <v>410</v>
      </c>
      <c r="H242"/>
      <c r="I242" t="s">
        <v>32</v>
      </c>
      <c r="J242" t="s">
        <v>411</v>
      </c>
      <c r="K242" t="s">
        <v>28</v>
      </c>
      <c r="L242"/>
      <c r="N242" t="s">
        <v>20</v>
      </c>
      <c r="O242" t="s">
        <v>20</v>
      </c>
    </row>
    <row r="243" spans="2:15">
      <c r="B243">
        <v>2</v>
      </c>
      <c r="C243" t="s">
        <v>36</v>
      </c>
      <c r="F243" t="str">
        <f t="shared" si="4"/>
        <v>氯沙坦钾氢氯噻嗪片</v>
      </c>
      <c r="G243" t="s">
        <v>410</v>
      </c>
      <c r="H243"/>
      <c r="I243" t="s">
        <v>32</v>
      </c>
      <c r="J243" t="s">
        <v>412</v>
      </c>
      <c r="K243" t="s">
        <v>28</v>
      </c>
      <c r="L243"/>
      <c r="N243" t="s">
        <v>20</v>
      </c>
      <c r="O243" t="s">
        <v>20</v>
      </c>
    </row>
    <row r="244" spans="2:15">
      <c r="B244">
        <v>4</v>
      </c>
      <c r="C244" t="s">
        <v>15</v>
      </c>
      <c r="F244" t="str">
        <f t="shared" si="4"/>
        <v>马来酸曲美布汀片</v>
      </c>
      <c r="G244" t="s">
        <v>413</v>
      </c>
      <c r="H244"/>
      <c r="I244" t="s">
        <v>32</v>
      </c>
      <c r="J244" t="s">
        <v>65</v>
      </c>
      <c r="K244" t="s">
        <v>19</v>
      </c>
      <c r="L244"/>
      <c r="N244" t="s">
        <v>20</v>
      </c>
      <c r="O244" t="s">
        <v>20</v>
      </c>
    </row>
    <row r="245" spans="2:15">
      <c r="B245">
        <v>2</v>
      </c>
      <c r="C245" t="s">
        <v>36</v>
      </c>
      <c r="F245" t="str">
        <f t="shared" si="4"/>
        <v>马来酸依那普利片</v>
      </c>
      <c r="G245" t="s">
        <v>414</v>
      </c>
      <c r="H245"/>
      <c r="I245" t="s">
        <v>32</v>
      </c>
      <c r="J245" t="s">
        <v>61</v>
      </c>
      <c r="K245" t="s">
        <v>28</v>
      </c>
      <c r="L245"/>
      <c r="N245" t="s">
        <v>20</v>
      </c>
      <c r="O245" t="s">
        <v>20</v>
      </c>
    </row>
    <row r="246" spans="2:15">
      <c r="B246">
        <v>4</v>
      </c>
      <c r="C246" t="s">
        <v>15</v>
      </c>
      <c r="F246" t="str">
        <f t="shared" si="4"/>
        <v>银杏蜜环口服溶液</v>
      </c>
      <c r="G246" t="s">
        <v>415</v>
      </c>
      <c r="H246"/>
      <c r="I246" t="s">
        <v>137</v>
      </c>
      <c r="J246" t="s">
        <v>416</v>
      </c>
      <c r="K246" t="s">
        <v>417</v>
      </c>
      <c r="L246"/>
      <c r="N246" t="s">
        <v>20</v>
      </c>
      <c r="O246" t="s">
        <v>20</v>
      </c>
    </row>
    <row r="247" spans="2:15">
      <c r="B247">
        <v>2</v>
      </c>
      <c r="C247" t="s">
        <v>36</v>
      </c>
      <c r="F247" t="str">
        <f t="shared" si="4"/>
        <v>马来酸左氨氯地平片</v>
      </c>
      <c r="G247" t="s">
        <v>418</v>
      </c>
      <c r="H247"/>
      <c r="I247" t="s">
        <v>32</v>
      </c>
      <c r="J247" t="s">
        <v>106</v>
      </c>
      <c r="K247" t="s">
        <v>28</v>
      </c>
      <c r="L247"/>
      <c r="N247" t="s">
        <v>20</v>
      </c>
      <c r="O247" t="s">
        <v>20</v>
      </c>
    </row>
    <row r="248" spans="2:15">
      <c r="B248">
        <v>16</v>
      </c>
      <c r="C248" t="s">
        <v>66</v>
      </c>
      <c r="D248" t="s">
        <v>67</v>
      </c>
      <c r="F248" t="str">
        <f t="shared" si="4"/>
        <v>玛仕度肽注射液</v>
      </c>
      <c r="G248" t="s">
        <v>419</v>
      </c>
      <c r="H248"/>
      <c r="I248" t="s">
        <v>28</v>
      </c>
      <c r="J248" t="s">
        <v>420</v>
      </c>
      <c r="K248" t="s">
        <v>28</v>
      </c>
      <c r="L248"/>
      <c r="N248" t="s">
        <v>421</v>
      </c>
      <c r="O248" t="s">
        <v>422</v>
      </c>
    </row>
    <row r="249" spans="2:15">
      <c r="B249">
        <v>16</v>
      </c>
      <c r="C249" t="s">
        <v>66</v>
      </c>
      <c r="D249" t="s">
        <v>67</v>
      </c>
      <c r="F249" t="str">
        <f t="shared" si="4"/>
        <v>玛仕度肽注射液</v>
      </c>
      <c r="G249" t="s">
        <v>419</v>
      </c>
      <c r="H249"/>
      <c r="I249" t="s">
        <v>28</v>
      </c>
      <c r="J249" t="s">
        <v>423</v>
      </c>
      <c r="K249" t="s">
        <v>28</v>
      </c>
      <c r="L249"/>
      <c r="N249" t="s">
        <v>421</v>
      </c>
      <c r="O249" t="s">
        <v>422</v>
      </c>
    </row>
    <row r="250" spans="2:15">
      <c r="B250">
        <v>16</v>
      </c>
      <c r="C250" t="s">
        <v>66</v>
      </c>
      <c r="D250" t="s">
        <v>67</v>
      </c>
      <c r="F250" t="str">
        <f t="shared" si="4"/>
        <v>玛仕度肽注射液</v>
      </c>
      <c r="G250" t="s">
        <v>419</v>
      </c>
      <c r="H250"/>
      <c r="I250" t="s">
        <v>28</v>
      </c>
      <c r="J250" t="s">
        <v>424</v>
      </c>
      <c r="K250" t="s">
        <v>28</v>
      </c>
      <c r="L250"/>
      <c r="N250" t="s">
        <v>421</v>
      </c>
      <c r="O250" t="s">
        <v>422</v>
      </c>
    </row>
    <row r="251" spans="2:15">
      <c r="B251">
        <v>4</v>
      </c>
      <c r="C251" t="s">
        <v>15</v>
      </c>
      <c r="F251" t="str">
        <f t="shared" si="4"/>
        <v>迈之灵片</v>
      </c>
      <c r="G251" t="s">
        <v>425</v>
      </c>
      <c r="H251"/>
      <c r="I251" t="s">
        <v>32</v>
      </c>
      <c r="J251" t="s">
        <v>426</v>
      </c>
      <c r="K251" t="s">
        <v>28</v>
      </c>
      <c r="L251"/>
      <c r="N251" t="s">
        <v>20</v>
      </c>
      <c r="O251" t="s">
        <v>20</v>
      </c>
    </row>
    <row r="252" spans="2:15">
      <c r="B252">
        <v>4</v>
      </c>
      <c r="C252" t="s">
        <v>15</v>
      </c>
      <c r="F252" t="str">
        <f t="shared" si="4"/>
        <v>脉管复康片</v>
      </c>
      <c r="G252" t="s">
        <v>427</v>
      </c>
      <c r="H252"/>
      <c r="I252" t="s">
        <v>32</v>
      </c>
      <c r="J252" t="s">
        <v>428</v>
      </c>
      <c r="K252" t="s">
        <v>19</v>
      </c>
      <c r="L252"/>
      <c r="N252" t="s">
        <v>20</v>
      </c>
      <c r="O252" t="s">
        <v>20</v>
      </c>
    </row>
    <row r="253" spans="2:15">
      <c r="B253">
        <v>4</v>
      </c>
      <c r="C253" t="s">
        <v>15</v>
      </c>
      <c r="F253" t="str">
        <f t="shared" ref="F253:F316" si="5">G253</f>
        <v>门冬氨酸钾镁片</v>
      </c>
      <c r="G253" t="s">
        <v>429</v>
      </c>
      <c r="H253"/>
      <c r="I253" t="s">
        <v>32</v>
      </c>
      <c r="J253" t="s">
        <v>430</v>
      </c>
      <c r="K253" t="s">
        <v>19</v>
      </c>
      <c r="L253"/>
      <c r="N253" t="s">
        <v>20</v>
      </c>
      <c r="O253" t="s">
        <v>20</v>
      </c>
    </row>
    <row r="254" spans="2:15">
      <c r="B254">
        <v>4</v>
      </c>
      <c r="C254" t="s">
        <v>15</v>
      </c>
      <c r="F254" t="str">
        <f t="shared" si="5"/>
        <v>门冬氨酸鸟氨酸颗粒</v>
      </c>
      <c r="G254" t="s">
        <v>431</v>
      </c>
      <c r="H254"/>
      <c r="I254" t="s">
        <v>17</v>
      </c>
      <c r="J254" t="s">
        <v>432</v>
      </c>
      <c r="K254" t="s">
        <v>19</v>
      </c>
      <c r="L254"/>
      <c r="N254" t="s">
        <v>20</v>
      </c>
      <c r="O254" t="s">
        <v>20</v>
      </c>
    </row>
    <row r="255" spans="2:15">
      <c r="B255">
        <v>13</v>
      </c>
      <c r="C255" t="s">
        <v>149</v>
      </c>
      <c r="D255" t="s">
        <v>150</v>
      </c>
      <c r="F255" t="str">
        <f t="shared" si="5"/>
        <v>门冬胰岛素30注射液</v>
      </c>
      <c r="G255" t="s">
        <v>433</v>
      </c>
      <c r="H255"/>
      <c r="I255" t="s">
        <v>139</v>
      </c>
      <c r="J255" t="s">
        <v>152</v>
      </c>
      <c r="K255" t="s">
        <v>139</v>
      </c>
      <c r="L255"/>
      <c r="N255" t="s">
        <v>153</v>
      </c>
      <c r="O255" t="s">
        <v>154</v>
      </c>
    </row>
    <row r="256" spans="2:15">
      <c r="B256">
        <v>13</v>
      </c>
      <c r="C256" t="s">
        <v>149</v>
      </c>
      <c r="D256" t="s">
        <v>150</v>
      </c>
      <c r="F256" t="str">
        <f t="shared" si="5"/>
        <v>门冬胰岛素50注射液</v>
      </c>
      <c r="G256" t="s">
        <v>434</v>
      </c>
      <c r="H256"/>
      <c r="I256" t="s">
        <v>139</v>
      </c>
      <c r="J256" t="s">
        <v>152</v>
      </c>
      <c r="K256" t="s">
        <v>139</v>
      </c>
      <c r="L256"/>
      <c r="N256" t="s">
        <v>153</v>
      </c>
      <c r="O256" t="s">
        <v>154</v>
      </c>
    </row>
    <row r="257" spans="2:15">
      <c r="B257">
        <v>17</v>
      </c>
      <c r="C257" t="s">
        <v>149</v>
      </c>
      <c r="D257" t="s">
        <v>288</v>
      </c>
      <c r="F257" t="str">
        <f t="shared" si="5"/>
        <v>门冬胰岛素注射液</v>
      </c>
      <c r="G257" t="s">
        <v>435</v>
      </c>
      <c r="H257"/>
      <c r="I257" t="s">
        <v>139</v>
      </c>
      <c r="J257" t="s">
        <v>152</v>
      </c>
      <c r="K257" t="s">
        <v>139</v>
      </c>
      <c r="L257"/>
      <c r="N257" t="s">
        <v>290</v>
      </c>
      <c r="O257" t="s">
        <v>162</v>
      </c>
    </row>
    <row r="258" spans="2:15">
      <c r="B258">
        <v>4</v>
      </c>
      <c r="C258" t="s">
        <v>15</v>
      </c>
      <c r="F258" t="str">
        <f t="shared" si="5"/>
        <v>蒙脱石散</v>
      </c>
      <c r="G258" t="s">
        <v>436</v>
      </c>
      <c r="H258"/>
      <c r="I258" t="s">
        <v>17</v>
      </c>
      <c r="J258" t="s">
        <v>432</v>
      </c>
      <c r="K258" t="s">
        <v>19</v>
      </c>
      <c r="L258"/>
      <c r="N258" t="s">
        <v>20</v>
      </c>
      <c r="O258" t="s">
        <v>20</v>
      </c>
    </row>
    <row r="259" spans="2:15">
      <c r="B259">
        <v>4</v>
      </c>
      <c r="C259" t="s">
        <v>15</v>
      </c>
      <c r="F259" t="str">
        <f t="shared" si="5"/>
        <v>孟鲁司特钠片</v>
      </c>
      <c r="G259" t="s">
        <v>437</v>
      </c>
      <c r="H259"/>
      <c r="I259" t="s">
        <v>32</v>
      </c>
      <c r="J259" t="s">
        <v>61</v>
      </c>
      <c r="K259" t="s">
        <v>28</v>
      </c>
      <c r="L259"/>
      <c r="N259" t="s">
        <v>20</v>
      </c>
      <c r="O259" t="s">
        <v>20</v>
      </c>
    </row>
    <row r="260" spans="2:15">
      <c r="B260">
        <v>1</v>
      </c>
      <c r="C260" t="s">
        <v>25</v>
      </c>
      <c r="F260" t="str">
        <f t="shared" si="5"/>
        <v>米格列醇片</v>
      </c>
      <c r="G260" t="s">
        <v>438</v>
      </c>
      <c r="H260"/>
      <c r="I260" t="s">
        <v>32</v>
      </c>
      <c r="J260" t="s">
        <v>33</v>
      </c>
      <c r="K260" t="s">
        <v>28</v>
      </c>
      <c r="L260"/>
      <c r="N260" t="s">
        <v>29</v>
      </c>
      <c r="O260" t="s">
        <v>30</v>
      </c>
    </row>
    <row r="261" spans="2:15">
      <c r="B261">
        <v>1</v>
      </c>
      <c r="C261" t="s">
        <v>25</v>
      </c>
      <c r="F261" t="str">
        <f t="shared" si="5"/>
        <v>米格列奈钙片</v>
      </c>
      <c r="G261" t="s">
        <v>439</v>
      </c>
      <c r="H261"/>
      <c r="I261" t="s">
        <v>32</v>
      </c>
      <c r="J261" t="s">
        <v>61</v>
      </c>
      <c r="K261" t="s">
        <v>28</v>
      </c>
      <c r="L261"/>
      <c r="N261" t="s">
        <v>440</v>
      </c>
      <c r="O261" t="s">
        <v>441</v>
      </c>
    </row>
    <row r="262" spans="2:15">
      <c r="B262">
        <v>4</v>
      </c>
      <c r="C262" t="s">
        <v>15</v>
      </c>
      <c r="F262" t="str">
        <f t="shared" si="5"/>
        <v>木丹颗粒</v>
      </c>
      <c r="G262" t="s">
        <v>442</v>
      </c>
      <c r="H262"/>
      <c r="I262" t="s">
        <v>17</v>
      </c>
      <c r="J262" t="s">
        <v>443</v>
      </c>
      <c r="K262" t="s">
        <v>19</v>
      </c>
      <c r="L262"/>
      <c r="N262" t="s">
        <v>20</v>
      </c>
      <c r="O262" t="s">
        <v>20</v>
      </c>
    </row>
    <row r="263" spans="2:15">
      <c r="B263">
        <v>1</v>
      </c>
      <c r="C263" t="s">
        <v>25</v>
      </c>
      <c r="F263" t="str">
        <f t="shared" si="5"/>
        <v>那格列奈片</v>
      </c>
      <c r="G263" t="s">
        <v>444</v>
      </c>
      <c r="H263"/>
      <c r="I263" t="s">
        <v>32</v>
      </c>
      <c r="J263" t="s">
        <v>445</v>
      </c>
      <c r="K263" t="s">
        <v>28</v>
      </c>
      <c r="L263"/>
      <c r="N263" t="s">
        <v>440</v>
      </c>
      <c r="O263" t="s">
        <v>441</v>
      </c>
    </row>
    <row r="264" spans="2:15">
      <c r="B264">
        <v>4</v>
      </c>
      <c r="C264" t="s">
        <v>15</v>
      </c>
      <c r="F264" t="str">
        <f t="shared" si="5"/>
        <v>脑心通胶囊</v>
      </c>
      <c r="G264" t="s">
        <v>446</v>
      </c>
      <c r="H264"/>
      <c r="I264" t="s">
        <v>22</v>
      </c>
      <c r="J264" t="s">
        <v>447</v>
      </c>
      <c r="K264" t="s">
        <v>19</v>
      </c>
      <c r="L264"/>
      <c r="N264" t="s">
        <v>20</v>
      </c>
      <c r="O264" t="s">
        <v>20</v>
      </c>
    </row>
    <row r="265" spans="2:15">
      <c r="B265">
        <v>4</v>
      </c>
      <c r="C265" t="s">
        <v>15</v>
      </c>
      <c r="F265" t="str">
        <f t="shared" si="5"/>
        <v>尼可地尔片</v>
      </c>
      <c r="G265" t="s">
        <v>448</v>
      </c>
      <c r="H265"/>
      <c r="I265" t="s">
        <v>32</v>
      </c>
      <c r="J265" t="s">
        <v>76</v>
      </c>
      <c r="K265" t="s">
        <v>28</v>
      </c>
      <c r="L265"/>
      <c r="N265" t="s">
        <v>20</v>
      </c>
      <c r="O265" t="s">
        <v>20</v>
      </c>
    </row>
    <row r="266" spans="2:15">
      <c r="B266">
        <v>4</v>
      </c>
      <c r="C266" t="s">
        <v>15</v>
      </c>
      <c r="F266" t="str">
        <f t="shared" si="5"/>
        <v>尼麦角林片</v>
      </c>
      <c r="G266" t="s">
        <v>449</v>
      </c>
      <c r="H266"/>
      <c r="I266" t="s">
        <v>32</v>
      </c>
      <c r="J266" t="s">
        <v>61</v>
      </c>
      <c r="K266" t="s">
        <v>28</v>
      </c>
      <c r="L266"/>
      <c r="N266" t="s">
        <v>20</v>
      </c>
      <c r="O266" t="s">
        <v>20</v>
      </c>
    </row>
    <row r="267" spans="2:15">
      <c r="B267">
        <v>4</v>
      </c>
      <c r="C267" t="s">
        <v>15</v>
      </c>
      <c r="F267" t="str">
        <f t="shared" si="5"/>
        <v>多糖铁复合物胶囊</v>
      </c>
      <c r="G267" t="s">
        <v>178</v>
      </c>
      <c r="H267"/>
      <c r="I267" t="s">
        <v>22</v>
      </c>
      <c r="J267" t="s">
        <v>186</v>
      </c>
      <c r="K267" t="s">
        <v>28</v>
      </c>
      <c r="L267"/>
      <c r="N267" t="s">
        <v>20</v>
      </c>
      <c r="O267" t="s">
        <v>20</v>
      </c>
    </row>
    <row r="268" spans="2:15">
      <c r="B268">
        <v>2</v>
      </c>
      <c r="C268" t="s">
        <v>36</v>
      </c>
      <c r="F268" t="str">
        <f t="shared" si="5"/>
        <v>尼莫地平片</v>
      </c>
      <c r="G268" t="s">
        <v>450</v>
      </c>
      <c r="H268"/>
      <c r="I268" t="s">
        <v>32</v>
      </c>
      <c r="J268" t="s">
        <v>51</v>
      </c>
      <c r="K268" t="s">
        <v>28</v>
      </c>
      <c r="L268"/>
      <c r="N268" t="s">
        <v>20</v>
      </c>
      <c r="O268" t="s">
        <v>20</v>
      </c>
    </row>
    <row r="269" spans="2:15">
      <c r="B269">
        <v>2</v>
      </c>
      <c r="C269" t="s">
        <v>36</v>
      </c>
      <c r="F269" t="str">
        <f t="shared" si="5"/>
        <v>尼莫地平片</v>
      </c>
      <c r="G269" t="s">
        <v>450</v>
      </c>
      <c r="H269"/>
      <c r="I269" t="s">
        <v>32</v>
      </c>
      <c r="J269" t="s">
        <v>265</v>
      </c>
      <c r="K269" t="s">
        <v>28</v>
      </c>
      <c r="L269"/>
      <c r="N269" t="s">
        <v>20</v>
      </c>
      <c r="O269" t="s">
        <v>20</v>
      </c>
    </row>
    <row r="270" spans="2:15">
      <c r="B270">
        <v>4</v>
      </c>
      <c r="C270" t="s">
        <v>15</v>
      </c>
      <c r="F270" t="str">
        <f t="shared" si="5"/>
        <v>布地奈德福莫特罗吸入粉雾剂（Ⅱ）</v>
      </c>
      <c r="G270" t="s">
        <v>451</v>
      </c>
      <c r="H270"/>
      <c r="I270" t="s">
        <v>305</v>
      </c>
      <c r="J270" t="s">
        <v>452</v>
      </c>
      <c r="K270" t="s">
        <v>24</v>
      </c>
      <c r="L270"/>
      <c r="N270" t="s">
        <v>20</v>
      </c>
      <c r="O270" t="s">
        <v>20</v>
      </c>
    </row>
    <row r="271" spans="2:15">
      <c r="B271">
        <v>4</v>
      </c>
      <c r="C271" t="s">
        <v>15</v>
      </c>
      <c r="F271" t="str">
        <f t="shared" si="5"/>
        <v>泮托拉唑钠肠溶片</v>
      </c>
      <c r="G271" t="s">
        <v>453</v>
      </c>
      <c r="H271"/>
      <c r="I271" t="s">
        <v>32</v>
      </c>
      <c r="J271" t="s">
        <v>52</v>
      </c>
      <c r="K271" t="s">
        <v>28</v>
      </c>
      <c r="L271"/>
      <c r="N271" t="s">
        <v>20</v>
      </c>
      <c r="O271" t="s">
        <v>20</v>
      </c>
    </row>
    <row r="272" spans="2:15">
      <c r="B272">
        <v>2</v>
      </c>
      <c r="C272" t="s">
        <v>36</v>
      </c>
      <c r="F272" t="str">
        <f t="shared" si="5"/>
        <v>培哚普利氨氯地平片(III)</v>
      </c>
      <c r="G272" t="s">
        <v>454</v>
      </c>
      <c r="H272"/>
      <c r="I272" t="s">
        <v>32</v>
      </c>
      <c r="J272" t="s">
        <v>455</v>
      </c>
      <c r="K272" t="s">
        <v>28</v>
      </c>
      <c r="L272"/>
      <c r="N272" t="s">
        <v>20</v>
      </c>
      <c r="O272" t="s">
        <v>20</v>
      </c>
    </row>
    <row r="273" spans="2:15">
      <c r="B273">
        <v>2</v>
      </c>
      <c r="C273" t="s">
        <v>36</v>
      </c>
      <c r="F273" t="str">
        <f t="shared" si="5"/>
        <v>精氨酸培哚普利片</v>
      </c>
      <c r="G273" t="s">
        <v>456</v>
      </c>
      <c r="H273"/>
      <c r="I273" t="s">
        <v>32</v>
      </c>
      <c r="J273" t="s">
        <v>76</v>
      </c>
      <c r="K273" t="s">
        <v>28</v>
      </c>
      <c r="L273"/>
      <c r="N273" t="s">
        <v>20</v>
      </c>
      <c r="O273" t="s">
        <v>20</v>
      </c>
    </row>
    <row r="274" spans="2:15">
      <c r="B274">
        <v>2</v>
      </c>
      <c r="C274" t="s">
        <v>36</v>
      </c>
      <c r="F274" t="str">
        <f t="shared" si="5"/>
        <v>培哚普利叔丁胺片</v>
      </c>
      <c r="G274" t="s">
        <v>457</v>
      </c>
      <c r="H274"/>
      <c r="I274" t="s">
        <v>32</v>
      </c>
      <c r="J274" t="s">
        <v>327</v>
      </c>
      <c r="K274" t="s">
        <v>28</v>
      </c>
      <c r="L274"/>
      <c r="N274" t="s">
        <v>20</v>
      </c>
      <c r="O274" t="s">
        <v>20</v>
      </c>
    </row>
    <row r="275" spans="2:15">
      <c r="B275">
        <v>2</v>
      </c>
      <c r="C275" t="s">
        <v>36</v>
      </c>
      <c r="F275" t="str">
        <f t="shared" si="5"/>
        <v>培哚普利吲达帕胺片</v>
      </c>
      <c r="G275" t="s">
        <v>458</v>
      </c>
      <c r="H275"/>
      <c r="I275" t="s">
        <v>32</v>
      </c>
      <c r="J275" t="s">
        <v>459</v>
      </c>
      <c r="K275" t="s">
        <v>28</v>
      </c>
      <c r="L275"/>
      <c r="N275" t="s">
        <v>20</v>
      </c>
      <c r="O275" t="s">
        <v>20</v>
      </c>
    </row>
    <row r="276" spans="2:15">
      <c r="B276">
        <v>3</v>
      </c>
      <c r="C276" t="s">
        <v>59</v>
      </c>
      <c r="F276" t="str">
        <f t="shared" si="5"/>
        <v>匹伐他汀钙分散片</v>
      </c>
      <c r="G276" t="s">
        <v>460</v>
      </c>
      <c r="H276"/>
      <c r="I276" t="s">
        <v>32</v>
      </c>
      <c r="J276" t="s">
        <v>270</v>
      </c>
      <c r="K276" t="s">
        <v>28</v>
      </c>
      <c r="L276"/>
      <c r="N276" t="s">
        <v>20</v>
      </c>
      <c r="O276" t="s">
        <v>20</v>
      </c>
    </row>
    <row r="277" spans="2:15">
      <c r="B277">
        <v>3</v>
      </c>
      <c r="C277" t="s">
        <v>59</v>
      </c>
      <c r="F277" t="str">
        <f t="shared" si="5"/>
        <v>匹伐他汀钙片</v>
      </c>
      <c r="G277" t="s">
        <v>461</v>
      </c>
      <c r="H277"/>
      <c r="I277" t="s">
        <v>32</v>
      </c>
      <c r="J277" t="s">
        <v>270</v>
      </c>
      <c r="K277" t="s">
        <v>28</v>
      </c>
      <c r="L277"/>
      <c r="N277" t="s">
        <v>20</v>
      </c>
      <c r="O277" t="s">
        <v>20</v>
      </c>
    </row>
    <row r="278" spans="2:15">
      <c r="B278">
        <v>3</v>
      </c>
      <c r="C278" t="s">
        <v>59</v>
      </c>
      <c r="F278" t="str">
        <f t="shared" si="5"/>
        <v>匹伐他汀钙片</v>
      </c>
      <c r="G278" t="s">
        <v>461</v>
      </c>
      <c r="H278"/>
      <c r="I278" t="s">
        <v>32</v>
      </c>
      <c r="J278" t="s">
        <v>74</v>
      </c>
      <c r="K278" t="s">
        <v>28</v>
      </c>
      <c r="L278"/>
      <c r="N278" t="s">
        <v>20</v>
      </c>
      <c r="O278" t="s">
        <v>20</v>
      </c>
    </row>
    <row r="279" spans="2:15">
      <c r="B279">
        <v>1</v>
      </c>
      <c r="C279" t="s">
        <v>25</v>
      </c>
      <c r="F279" t="str">
        <f t="shared" si="5"/>
        <v>脯氨酸恒格列净片</v>
      </c>
      <c r="G279" t="s">
        <v>462</v>
      </c>
      <c r="H279"/>
      <c r="I279" t="s">
        <v>32</v>
      </c>
      <c r="J279" t="s">
        <v>76</v>
      </c>
      <c r="K279" t="s">
        <v>28</v>
      </c>
      <c r="L279"/>
      <c r="N279" t="s">
        <v>77</v>
      </c>
      <c r="O279" t="s">
        <v>78</v>
      </c>
    </row>
    <row r="280" spans="2:15">
      <c r="B280">
        <v>1</v>
      </c>
      <c r="C280" t="s">
        <v>25</v>
      </c>
      <c r="F280" t="str">
        <f t="shared" si="5"/>
        <v>脯氨酸恒格列净片</v>
      </c>
      <c r="G280" t="s">
        <v>462</v>
      </c>
      <c r="H280"/>
      <c r="I280" t="s">
        <v>32</v>
      </c>
      <c r="J280" t="s">
        <v>61</v>
      </c>
      <c r="K280" t="s">
        <v>28</v>
      </c>
      <c r="L280"/>
      <c r="N280" t="s">
        <v>77</v>
      </c>
      <c r="O280" t="s">
        <v>78</v>
      </c>
    </row>
    <row r="281" spans="2:15">
      <c r="B281">
        <v>1</v>
      </c>
      <c r="C281" t="s">
        <v>25</v>
      </c>
      <c r="F281" t="str">
        <f t="shared" si="5"/>
        <v>脯氨酸加格列净片</v>
      </c>
      <c r="G281" t="s">
        <v>463</v>
      </c>
      <c r="H281"/>
      <c r="I281" t="s">
        <v>32</v>
      </c>
      <c r="J281" t="s">
        <v>108</v>
      </c>
      <c r="K281" t="s">
        <v>28</v>
      </c>
      <c r="L281"/>
      <c r="N281" t="s">
        <v>109</v>
      </c>
      <c r="O281" t="s">
        <v>110</v>
      </c>
    </row>
    <row r="282" spans="2:15">
      <c r="B282">
        <v>4</v>
      </c>
      <c r="C282" t="s">
        <v>15</v>
      </c>
      <c r="F282" t="str">
        <f t="shared" si="5"/>
        <v>蒲地蓝消炎口服液</v>
      </c>
      <c r="G282" t="s">
        <v>464</v>
      </c>
      <c r="H282"/>
      <c r="I282" t="s">
        <v>137</v>
      </c>
      <c r="J282" t="s">
        <v>416</v>
      </c>
      <c r="K282" t="s">
        <v>417</v>
      </c>
      <c r="L282"/>
      <c r="N282" t="s">
        <v>20</v>
      </c>
      <c r="O282" t="s">
        <v>20</v>
      </c>
    </row>
    <row r="283" spans="2:15">
      <c r="B283">
        <v>3</v>
      </c>
      <c r="C283" t="s">
        <v>59</v>
      </c>
      <c r="F283" t="str">
        <f t="shared" si="5"/>
        <v>普伐他汀钠片</v>
      </c>
      <c r="G283" t="s">
        <v>465</v>
      </c>
      <c r="H283"/>
      <c r="I283" t="s">
        <v>32</v>
      </c>
      <c r="J283" t="s">
        <v>52</v>
      </c>
      <c r="K283" t="s">
        <v>28</v>
      </c>
      <c r="L283"/>
      <c r="N283" t="s">
        <v>20</v>
      </c>
      <c r="O283" t="s">
        <v>20</v>
      </c>
    </row>
    <row r="284" spans="2:15">
      <c r="B284">
        <v>3</v>
      </c>
      <c r="C284" t="s">
        <v>59</v>
      </c>
      <c r="F284" t="str">
        <f t="shared" si="5"/>
        <v>普伐他汀钠片</v>
      </c>
      <c r="G284" t="s">
        <v>465</v>
      </c>
      <c r="H284"/>
      <c r="I284" t="s">
        <v>32</v>
      </c>
      <c r="J284" t="s">
        <v>61</v>
      </c>
      <c r="K284" t="s">
        <v>28</v>
      </c>
      <c r="L284"/>
      <c r="N284" t="s">
        <v>20</v>
      </c>
      <c r="O284" t="s">
        <v>20</v>
      </c>
    </row>
    <row r="285" spans="2:15">
      <c r="B285">
        <v>3</v>
      </c>
      <c r="C285" t="s">
        <v>59</v>
      </c>
      <c r="F285" t="str">
        <f t="shared" si="5"/>
        <v>普伐他汀钠片</v>
      </c>
      <c r="G285" t="s">
        <v>465</v>
      </c>
      <c r="H285"/>
      <c r="I285" t="s">
        <v>32</v>
      </c>
      <c r="J285" t="s">
        <v>51</v>
      </c>
      <c r="K285" t="s">
        <v>28</v>
      </c>
      <c r="L285"/>
      <c r="N285" t="s">
        <v>20</v>
      </c>
      <c r="O285" t="s">
        <v>20</v>
      </c>
    </row>
    <row r="286" spans="2:15">
      <c r="B286">
        <v>3</v>
      </c>
      <c r="C286" t="s">
        <v>59</v>
      </c>
      <c r="F286" t="str">
        <f t="shared" si="5"/>
        <v>普罗布考片</v>
      </c>
      <c r="G286" t="s">
        <v>466</v>
      </c>
      <c r="H286"/>
      <c r="I286" t="s">
        <v>32</v>
      </c>
      <c r="J286" t="s">
        <v>467</v>
      </c>
      <c r="K286" t="s">
        <v>19</v>
      </c>
      <c r="L286"/>
      <c r="N286" t="s">
        <v>20</v>
      </c>
      <c r="O286" t="s">
        <v>20</v>
      </c>
    </row>
    <row r="287" spans="2:15">
      <c r="B287">
        <v>4</v>
      </c>
      <c r="C287" t="s">
        <v>15</v>
      </c>
      <c r="F287" t="str">
        <f t="shared" si="5"/>
        <v>普瑞巴林胶囊</v>
      </c>
      <c r="G287" t="s">
        <v>468</v>
      </c>
      <c r="H287"/>
      <c r="I287" t="s">
        <v>22</v>
      </c>
      <c r="J287" t="s">
        <v>56</v>
      </c>
      <c r="K287" t="s">
        <v>28</v>
      </c>
      <c r="L287"/>
      <c r="N287" t="s">
        <v>20</v>
      </c>
      <c r="O287" t="s">
        <v>20</v>
      </c>
    </row>
    <row r="288" spans="2:15">
      <c r="B288">
        <v>1</v>
      </c>
      <c r="C288" t="s">
        <v>25</v>
      </c>
      <c r="F288" t="str">
        <f t="shared" si="5"/>
        <v>芪蛭降糖片</v>
      </c>
      <c r="G288" t="s">
        <v>469</v>
      </c>
      <c r="H288"/>
      <c r="I288" t="s">
        <v>32</v>
      </c>
      <c r="J288" t="s">
        <v>470</v>
      </c>
      <c r="K288" t="s">
        <v>19</v>
      </c>
      <c r="L288"/>
      <c r="N288" t="s">
        <v>20</v>
      </c>
      <c r="O288" t="s">
        <v>20</v>
      </c>
    </row>
    <row r="289" spans="2:15">
      <c r="B289">
        <v>4</v>
      </c>
      <c r="C289" t="s">
        <v>15</v>
      </c>
      <c r="F289" t="str">
        <f t="shared" si="5"/>
        <v>芪蛭益肾胶囊</v>
      </c>
      <c r="G289" t="s">
        <v>471</v>
      </c>
      <c r="H289"/>
      <c r="I289" t="s">
        <v>22</v>
      </c>
      <c r="J289" t="s">
        <v>472</v>
      </c>
      <c r="K289" t="s">
        <v>19</v>
      </c>
      <c r="L289"/>
      <c r="N289" t="s">
        <v>20</v>
      </c>
      <c r="O289" t="s">
        <v>20</v>
      </c>
    </row>
    <row r="290" spans="2:15">
      <c r="B290">
        <v>4</v>
      </c>
      <c r="C290" t="s">
        <v>15</v>
      </c>
      <c r="F290" t="str">
        <f t="shared" si="5"/>
        <v>硝酸甘油片</v>
      </c>
      <c r="G290" t="s">
        <v>473</v>
      </c>
      <c r="H290"/>
      <c r="I290" t="s">
        <v>32</v>
      </c>
      <c r="J290" t="s">
        <v>192</v>
      </c>
      <c r="K290" t="s">
        <v>28</v>
      </c>
      <c r="L290"/>
      <c r="N290" t="s">
        <v>20</v>
      </c>
      <c r="O290" t="s">
        <v>20</v>
      </c>
    </row>
    <row r="291" spans="2:15">
      <c r="B291">
        <v>4</v>
      </c>
      <c r="C291" t="s">
        <v>15</v>
      </c>
      <c r="F291" t="str">
        <f t="shared" si="5"/>
        <v>羟苯磺酸钙胶囊</v>
      </c>
      <c r="G291" t="s">
        <v>474</v>
      </c>
      <c r="H291"/>
      <c r="I291" t="s">
        <v>22</v>
      </c>
      <c r="J291" t="s">
        <v>247</v>
      </c>
      <c r="K291" t="s">
        <v>19</v>
      </c>
      <c r="L291"/>
      <c r="N291" t="s">
        <v>20</v>
      </c>
      <c r="O291" t="s">
        <v>20</v>
      </c>
    </row>
    <row r="292" spans="2:15">
      <c r="B292">
        <v>4</v>
      </c>
      <c r="C292" t="s">
        <v>15</v>
      </c>
      <c r="F292" t="str">
        <f t="shared" si="5"/>
        <v>羟苯磺酸钙胶囊</v>
      </c>
      <c r="G292" t="s">
        <v>474</v>
      </c>
      <c r="H292"/>
      <c r="I292" t="s">
        <v>32</v>
      </c>
      <c r="J292" t="s">
        <v>54</v>
      </c>
      <c r="K292" t="s">
        <v>19</v>
      </c>
      <c r="L292"/>
      <c r="N292" t="s">
        <v>20</v>
      </c>
      <c r="O292" t="s">
        <v>20</v>
      </c>
    </row>
    <row r="293" spans="2:15">
      <c r="B293">
        <v>4</v>
      </c>
      <c r="C293" t="s">
        <v>15</v>
      </c>
      <c r="F293" t="str">
        <f t="shared" si="5"/>
        <v>羟苯磺酸钙片</v>
      </c>
      <c r="G293" t="s">
        <v>475</v>
      </c>
      <c r="H293"/>
      <c r="I293" t="s">
        <v>32</v>
      </c>
      <c r="J293" t="s">
        <v>279</v>
      </c>
      <c r="K293" t="s">
        <v>19</v>
      </c>
      <c r="L293"/>
      <c r="N293" t="s">
        <v>20</v>
      </c>
      <c r="O293" t="s">
        <v>20</v>
      </c>
    </row>
    <row r="294" spans="2:15">
      <c r="B294">
        <v>2</v>
      </c>
      <c r="C294" t="s">
        <v>36</v>
      </c>
      <c r="F294" t="str">
        <f t="shared" si="5"/>
        <v>氢氯噻嗪片</v>
      </c>
      <c r="G294" t="s">
        <v>476</v>
      </c>
      <c r="I294" t="s">
        <v>32</v>
      </c>
      <c r="J294" t="s">
        <v>108</v>
      </c>
      <c r="K294" t="s">
        <v>28</v>
      </c>
      <c r="L294"/>
      <c r="N294" t="s">
        <v>20</v>
      </c>
      <c r="O294" t="s">
        <v>20</v>
      </c>
    </row>
    <row r="295" spans="2:15">
      <c r="B295">
        <v>1</v>
      </c>
      <c r="C295" t="s">
        <v>25</v>
      </c>
      <c r="F295" t="str">
        <f t="shared" si="5"/>
        <v>氢溴酸替格列汀片</v>
      </c>
      <c r="G295" t="s">
        <v>477</v>
      </c>
      <c r="H295"/>
      <c r="I295" t="s">
        <v>32</v>
      </c>
      <c r="J295" t="s">
        <v>51</v>
      </c>
      <c r="K295" t="s">
        <v>28</v>
      </c>
      <c r="L295"/>
      <c r="N295" t="s">
        <v>109</v>
      </c>
      <c r="O295" t="s">
        <v>110</v>
      </c>
    </row>
    <row r="296" spans="2:15">
      <c r="B296">
        <v>4</v>
      </c>
      <c r="C296" t="s">
        <v>15</v>
      </c>
      <c r="F296" t="str">
        <f t="shared" si="5"/>
        <v>双氯芬酸二乙胺乳胶剂</v>
      </c>
      <c r="G296" t="s">
        <v>478</v>
      </c>
      <c r="H296"/>
      <c r="I296" t="s">
        <v>137</v>
      </c>
      <c r="J296" t="s">
        <v>479</v>
      </c>
      <c r="K296" t="s">
        <v>19</v>
      </c>
      <c r="L296"/>
      <c r="N296" t="s">
        <v>20</v>
      </c>
      <c r="O296" t="s">
        <v>20</v>
      </c>
    </row>
    <row r="297" spans="2:15">
      <c r="B297">
        <v>4</v>
      </c>
      <c r="C297" t="s">
        <v>15</v>
      </c>
      <c r="F297" t="str">
        <f t="shared" si="5"/>
        <v>秋水仙碱片</v>
      </c>
      <c r="G297" t="s">
        <v>480</v>
      </c>
      <c r="H297"/>
      <c r="I297" t="s">
        <v>32</v>
      </c>
      <c r="J297" t="s">
        <v>192</v>
      </c>
      <c r="K297" t="s">
        <v>28</v>
      </c>
      <c r="L297"/>
      <c r="N297" t="s">
        <v>20</v>
      </c>
      <c r="O297" t="s">
        <v>20</v>
      </c>
    </row>
    <row r="298" spans="2:15">
      <c r="B298">
        <v>4</v>
      </c>
      <c r="C298" t="s">
        <v>15</v>
      </c>
      <c r="F298" t="str">
        <f t="shared" si="5"/>
        <v>脂必妥胶囊</v>
      </c>
      <c r="G298" t="s">
        <v>481</v>
      </c>
      <c r="H298"/>
      <c r="I298" t="s">
        <v>22</v>
      </c>
      <c r="J298" t="s">
        <v>234</v>
      </c>
      <c r="K298" t="s">
        <v>19</v>
      </c>
      <c r="L298"/>
      <c r="N298" t="s">
        <v>20</v>
      </c>
      <c r="O298" t="s">
        <v>20</v>
      </c>
    </row>
    <row r="299" spans="2:15">
      <c r="B299">
        <v>10</v>
      </c>
      <c r="C299" t="s">
        <v>66</v>
      </c>
      <c r="F299" t="str">
        <f t="shared" si="5"/>
        <v>人促红素注射液</v>
      </c>
      <c r="G299" t="s">
        <v>482</v>
      </c>
      <c r="H299"/>
      <c r="I299" t="s">
        <v>137</v>
      </c>
      <c r="J299" t="s">
        <v>483</v>
      </c>
      <c r="K299" t="s">
        <v>139</v>
      </c>
      <c r="L299"/>
      <c r="N299" t="s">
        <v>20</v>
      </c>
      <c r="O299" t="s">
        <v>20</v>
      </c>
    </row>
    <row r="300" spans="2:15">
      <c r="B300">
        <v>10</v>
      </c>
      <c r="C300" t="s">
        <v>66</v>
      </c>
      <c r="F300" t="str">
        <f t="shared" si="5"/>
        <v>人促红素注射液</v>
      </c>
      <c r="G300" t="s">
        <v>482</v>
      </c>
      <c r="H300"/>
      <c r="I300" t="s">
        <v>137</v>
      </c>
      <c r="J300" t="s">
        <v>484</v>
      </c>
      <c r="K300" t="s">
        <v>139</v>
      </c>
      <c r="L300"/>
      <c r="N300" t="s">
        <v>20</v>
      </c>
      <c r="O300" t="s">
        <v>20</v>
      </c>
    </row>
    <row r="301" spans="2:15">
      <c r="B301">
        <v>4</v>
      </c>
      <c r="C301" t="s">
        <v>15</v>
      </c>
      <c r="F301" t="str">
        <f t="shared" si="5"/>
        <v>瑞巴派特片</v>
      </c>
      <c r="G301" t="s">
        <v>485</v>
      </c>
      <c r="H301"/>
      <c r="I301" t="s">
        <v>32</v>
      </c>
      <c r="J301" t="s">
        <v>65</v>
      </c>
      <c r="K301" t="s">
        <v>19</v>
      </c>
      <c r="L301"/>
      <c r="N301" t="s">
        <v>20</v>
      </c>
      <c r="O301" t="s">
        <v>20</v>
      </c>
    </row>
    <row r="302" spans="2:15">
      <c r="B302">
        <v>1</v>
      </c>
      <c r="C302" t="s">
        <v>25</v>
      </c>
      <c r="F302" t="str">
        <f t="shared" si="5"/>
        <v>瑞格列奈二甲双胍片(Ⅰ)</v>
      </c>
      <c r="G302" t="s">
        <v>486</v>
      </c>
      <c r="H302"/>
      <c r="I302" t="s">
        <v>32</v>
      </c>
      <c r="J302" t="s">
        <v>487</v>
      </c>
      <c r="K302" t="s">
        <v>19</v>
      </c>
      <c r="L302"/>
      <c r="N302" t="s">
        <v>153</v>
      </c>
      <c r="O302" t="s">
        <v>488</v>
      </c>
    </row>
    <row r="303" spans="2:15">
      <c r="B303">
        <v>1</v>
      </c>
      <c r="C303" t="s">
        <v>25</v>
      </c>
      <c r="F303" t="str">
        <f t="shared" si="5"/>
        <v>瑞格列奈片</v>
      </c>
      <c r="G303" t="s">
        <v>489</v>
      </c>
      <c r="H303"/>
      <c r="I303" t="s">
        <v>32</v>
      </c>
      <c r="J303" t="s">
        <v>74</v>
      </c>
      <c r="K303" t="s">
        <v>28</v>
      </c>
      <c r="L303"/>
      <c r="N303" t="s">
        <v>440</v>
      </c>
      <c r="O303" t="s">
        <v>441</v>
      </c>
    </row>
    <row r="304" spans="2:15">
      <c r="B304">
        <v>1</v>
      </c>
      <c r="C304" t="s">
        <v>25</v>
      </c>
      <c r="F304" t="str">
        <f t="shared" si="5"/>
        <v>瑞格列奈片</v>
      </c>
      <c r="G304" t="s">
        <v>489</v>
      </c>
      <c r="H304"/>
      <c r="I304" t="s">
        <v>32</v>
      </c>
      <c r="J304" t="s">
        <v>270</v>
      </c>
      <c r="K304" t="s">
        <v>28</v>
      </c>
      <c r="L304"/>
      <c r="N304" t="s">
        <v>440</v>
      </c>
      <c r="O304" t="s">
        <v>441</v>
      </c>
    </row>
    <row r="305" spans="2:15">
      <c r="B305">
        <v>1</v>
      </c>
      <c r="C305" t="s">
        <v>25</v>
      </c>
      <c r="F305" t="str">
        <f t="shared" si="5"/>
        <v>瑞格列奈片</v>
      </c>
      <c r="G305" t="s">
        <v>489</v>
      </c>
      <c r="H305"/>
      <c r="I305" t="s">
        <v>32</v>
      </c>
      <c r="J305" t="s">
        <v>192</v>
      </c>
      <c r="K305" t="s">
        <v>28</v>
      </c>
      <c r="L305"/>
      <c r="N305" t="s">
        <v>440</v>
      </c>
      <c r="O305" t="s">
        <v>441</v>
      </c>
    </row>
    <row r="306" spans="2:15">
      <c r="B306">
        <v>1</v>
      </c>
      <c r="C306" t="s">
        <v>25</v>
      </c>
      <c r="F306" t="str">
        <f t="shared" si="5"/>
        <v>磷酸瑞格列汀片</v>
      </c>
      <c r="G306" t="s">
        <v>490</v>
      </c>
      <c r="H306"/>
      <c r="I306" t="s">
        <v>32</v>
      </c>
      <c r="J306" t="s">
        <v>35</v>
      </c>
      <c r="K306" t="s">
        <v>28</v>
      </c>
      <c r="L306"/>
      <c r="N306" t="s">
        <v>109</v>
      </c>
      <c r="O306" t="s">
        <v>110</v>
      </c>
    </row>
    <row r="307" spans="2:15">
      <c r="B307">
        <v>3</v>
      </c>
      <c r="C307" t="s">
        <v>59</v>
      </c>
      <c r="F307" t="str">
        <f t="shared" si="5"/>
        <v>瑞舒伐他汀钙胶囊</v>
      </c>
      <c r="G307" t="s">
        <v>491</v>
      </c>
      <c r="H307"/>
      <c r="I307" t="s">
        <v>22</v>
      </c>
      <c r="J307" t="s">
        <v>208</v>
      </c>
      <c r="K307" t="s">
        <v>28</v>
      </c>
      <c r="L307"/>
      <c r="N307" t="s">
        <v>20</v>
      </c>
      <c r="O307" t="s">
        <v>20</v>
      </c>
    </row>
    <row r="308" spans="2:15">
      <c r="B308">
        <v>3</v>
      </c>
      <c r="C308" t="s">
        <v>59</v>
      </c>
      <c r="F308" t="str">
        <f t="shared" si="5"/>
        <v>瑞舒伐他汀钙片</v>
      </c>
      <c r="G308" t="s">
        <v>492</v>
      </c>
      <c r="H308"/>
      <c r="I308" t="s">
        <v>32</v>
      </c>
      <c r="J308" t="s">
        <v>51</v>
      </c>
      <c r="K308" t="s">
        <v>28</v>
      </c>
      <c r="N308" t="s">
        <v>20</v>
      </c>
      <c r="O308" t="s">
        <v>20</v>
      </c>
    </row>
    <row r="309" spans="2:15">
      <c r="B309">
        <v>3</v>
      </c>
      <c r="C309" t="s">
        <v>59</v>
      </c>
      <c r="F309" t="str">
        <f t="shared" si="5"/>
        <v>瑞舒伐他汀钙片</v>
      </c>
      <c r="G309" t="s">
        <v>492</v>
      </c>
      <c r="H309"/>
      <c r="I309" t="s">
        <v>32</v>
      </c>
      <c r="J309" t="s">
        <v>76</v>
      </c>
      <c r="K309" t="s">
        <v>28</v>
      </c>
      <c r="L309"/>
      <c r="N309" t="s">
        <v>20</v>
      </c>
      <c r="O309" t="s">
        <v>20</v>
      </c>
    </row>
    <row r="310" spans="2:15">
      <c r="B310">
        <v>3</v>
      </c>
      <c r="C310" t="s">
        <v>59</v>
      </c>
      <c r="F310" t="str">
        <f t="shared" si="5"/>
        <v>瑞舒伐他汀钙片</v>
      </c>
      <c r="G310" t="s">
        <v>492</v>
      </c>
      <c r="H310"/>
      <c r="I310" t="s">
        <v>32</v>
      </c>
      <c r="J310" t="s">
        <v>61</v>
      </c>
      <c r="K310" t="s">
        <v>28</v>
      </c>
      <c r="L310"/>
      <c r="N310" t="s">
        <v>20</v>
      </c>
      <c r="O310" t="s">
        <v>20</v>
      </c>
    </row>
    <row r="311" spans="2:15">
      <c r="B311">
        <v>1</v>
      </c>
      <c r="C311" t="s">
        <v>25</v>
      </c>
      <c r="F311" t="str">
        <f t="shared" si="5"/>
        <v>桑枝总生物碱片</v>
      </c>
      <c r="G311" t="s">
        <v>493</v>
      </c>
      <c r="H311"/>
      <c r="I311" t="s">
        <v>32</v>
      </c>
      <c r="J311" t="s">
        <v>33</v>
      </c>
      <c r="K311" t="s">
        <v>28</v>
      </c>
      <c r="L311"/>
      <c r="N311" t="s">
        <v>20</v>
      </c>
      <c r="O311" t="s">
        <v>20</v>
      </c>
    </row>
    <row r="312" spans="2:15">
      <c r="B312">
        <v>1</v>
      </c>
      <c r="C312" t="s">
        <v>25</v>
      </c>
      <c r="F312" t="str">
        <f t="shared" si="5"/>
        <v>沙格列汀二甲双胍缓释片（I）</v>
      </c>
      <c r="G312" t="s">
        <v>494</v>
      </c>
      <c r="H312"/>
      <c r="I312" t="s">
        <v>32</v>
      </c>
      <c r="J312" t="s">
        <v>303</v>
      </c>
      <c r="K312" t="s">
        <v>28</v>
      </c>
      <c r="L312"/>
      <c r="N312" t="s">
        <v>203</v>
      </c>
      <c r="O312" t="s">
        <v>204</v>
      </c>
    </row>
    <row r="313" spans="2:15">
      <c r="B313">
        <v>1</v>
      </c>
      <c r="C313" t="s">
        <v>25</v>
      </c>
      <c r="F313" t="str">
        <f t="shared" si="5"/>
        <v>沙格列汀二甲双胍缓释片（III）</v>
      </c>
      <c r="G313" t="s">
        <v>495</v>
      </c>
      <c r="H313"/>
      <c r="I313" t="s">
        <v>32</v>
      </c>
      <c r="J313" t="s">
        <v>496</v>
      </c>
      <c r="K313" t="s">
        <v>28</v>
      </c>
      <c r="L313"/>
      <c r="N313" t="s">
        <v>203</v>
      </c>
      <c r="O313" t="s">
        <v>204</v>
      </c>
    </row>
    <row r="314" spans="2:15">
      <c r="B314">
        <v>1</v>
      </c>
      <c r="C314" t="s">
        <v>25</v>
      </c>
      <c r="F314" t="str">
        <f t="shared" si="5"/>
        <v>沙格列汀片</v>
      </c>
      <c r="G314" t="s">
        <v>497</v>
      </c>
      <c r="H314"/>
      <c r="I314" t="s">
        <v>32</v>
      </c>
      <c r="J314" t="s">
        <v>76</v>
      </c>
      <c r="K314" t="s">
        <v>28</v>
      </c>
      <c r="L314"/>
      <c r="N314" t="s">
        <v>109</v>
      </c>
      <c r="O314" t="s">
        <v>498</v>
      </c>
    </row>
    <row r="315" spans="2:15">
      <c r="B315">
        <v>2</v>
      </c>
      <c r="C315" t="s">
        <v>36</v>
      </c>
      <c r="F315" t="str">
        <f t="shared" si="5"/>
        <v>沙库巴曲缬沙坦钠片</v>
      </c>
      <c r="G315" t="s">
        <v>499</v>
      </c>
      <c r="H315"/>
      <c r="I315" t="s">
        <v>32</v>
      </c>
      <c r="J315" t="s">
        <v>500</v>
      </c>
      <c r="K315" t="s">
        <v>28</v>
      </c>
      <c r="L315"/>
      <c r="N315" t="s">
        <v>20</v>
      </c>
      <c r="O315" t="s">
        <v>20</v>
      </c>
    </row>
    <row r="316" spans="2:15">
      <c r="B316">
        <v>4</v>
      </c>
      <c r="C316" t="s">
        <v>15</v>
      </c>
      <c r="F316" t="str">
        <f t="shared" si="5"/>
        <v>云南白药胶囊</v>
      </c>
      <c r="G316" t="s">
        <v>501</v>
      </c>
      <c r="H316"/>
      <c r="I316" t="s">
        <v>22</v>
      </c>
      <c r="J316" t="s">
        <v>122</v>
      </c>
      <c r="K316" t="s">
        <v>19</v>
      </c>
      <c r="L316"/>
      <c r="N316" t="s">
        <v>20</v>
      </c>
      <c r="O316" t="s">
        <v>20</v>
      </c>
    </row>
    <row r="317" spans="2:15">
      <c r="B317">
        <v>4</v>
      </c>
      <c r="C317" t="s">
        <v>15</v>
      </c>
      <c r="F317" t="str">
        <f t="shared" ref="F317:F335" si="6">G317</f>
        <v>麝香保心丸</v>
      </c>
      <c r="G317" t="s">
        <v>502</v>
      </c>
      <c r="H317"/>
      <c r="I317" t="s">
        <v>22</v>
      </c>
      <c r="J317" t="s">
        <v>503</v>
      </c>
      <c r="K317" t="s">
        <v>28</v>
      </c>
      <c r="L317"/>
      <c r="N317" t="s">
        <v>20</v>
      </c>
      <c r="O317" t="s">
        <v>20</v>
      </c>
    </row>
    <row r="318" spans="2:15">
      <c r="B318">
        <v>4</v>
      </c>
      <c r="C318" t="s">
        <v>15</v>
      </c>
      <c r="F318" t="str">
        <f t="shared" si="6"/>
        <v>肾衰宁颗粒</v>
      </c>
      <c r="G318" t="s">
        <v>504</v>
      </c>
      <c r="H318"/>
      <c r="I318" t="s">
        <v>17</v>
      </c>
      <c r="J318" t="s">
        <v>174</v>
      </c>
      <c r="K318" t="s">
        <v>19</v>
      </c>
      <c r="L318"/>
      <c r="N318" t="s">
        <v>20</v>
      </c>
      <c r="O318" t="s">
        <v>20</v>
      </c>
    </row>
    <row r="319" spans="2:15">
      <c r="B319">
        <v>4</v>
      </c>
      <c r="C319" t="s">
        <v>15</v>
      </c>
      <c r="F319" t="str">
        <f t="shared" si="6"/>
        <v>肾衰宁片</v>
      </c>
      <c r="G319" t="s">
        <v>505</v>
      </c>
      <c r="H319"/>
      <c r="I319" t="s">
        <v>32</v>
      </c>
      <c r="J319" t="s">
        <v>506</v>
      </c>
      <c r="K319" t="s">
        <v>19</v>
      </c>
      <c r="L319"/>
      <c r="N319" t="s">
        <v>20</v>
      </c>
      <c r="O319" t="s">
        <v>20</v>
      </c>
    </row>
    <row r="320" spans="2:15">
      <c r="B320">
        <v>5</v>
      </c>
      <c r="C320" t="s">
        <v>149</v>
      </c>
      <c r="D320" t="s">
        <v>507</v>
      </c>
      <c r="F320" t="str">
        <f t="shared" si="6"/>
        <v>人胰岛素注射液</v>
      </c>
      <c r="G320" t="s">
        <v>508</v>
      </c>
      <c r="H320"/>
      <c r="I320" t="s">
        <v>139</v>
      </c>
      <c r="J320" t="s">
        <v>152</v>
      </c>
      <c r="K320" t="s">
        <v>139</v>
      </c>
      <c r="L320"/>
      <c r="N320" t="s">
        <v>290</v>
      </c>
      <c r="O320" t="s">
        <v>162</v>
      </c>
    </row>
    <row r="321" spans="2:15">
      <c r="B321">
        <v>4</v>
      </c>
      <c r="C321" t="s">
        <v>15</v>
      </c>
      <c r="F321" t="str">
        <f t="shared" si="6"/>
        <v>卡马西平片</v>
      </c>
      <c r="G321" t="s">
        <v>509</v>
      </c>
      <c r="H321"/>
      <c r="I321" t="s">
        <v>32</v>
      </c>
      <c r="J321" t="s">
        <v>65</v>
      </c>
      <c r="K321" t="s">
        <v>19</v>
      </c>
      <c r="L321"/>
      <c r="N321" t="s">
        <v>20</v>
      </c>
      <c r="O321" t="s">
        <v>20</v>
      </c>
    </row>
    <row r="322" spans="2:15">
      <c r="B322">
        <v>4</v>
      </c>
      <c r="C322" t="s">
        <v>15</v>
      </c>
      <c r="F322" t="str">
        <f t="shared" si="6"/>
        <v>硝酸异山梨酯片</v>
      </c>
      <c r="G322" t="s">
        <v>510</v>
      </c>
      <c r="H322"/>
      <c r="I322" t="s">
        <v>32</v>
      </c>
      <c r="J322" t="s">
        <v>76</v>
      </c>
      <c r="K322" t="s">
        <v>28</v>
      </c>
      <c r="L322"/>
      <c r="N322" t="s">
        <v>20</v>
      </c>
      <c r="O322" t="s">
        <v>20</v>
      </c>
    </row>
    <row r="323" spans="2:15">
      <c r="B323">
        <v>4</v>
      </c>
      <c r="C323" t="s">
        <v>15</v>
      </c>
      <c r="F323" t="str">
        <f t="shared" si="6"/>
        <v>舒洛地特软胶囊</v>
      </c>
      <c r="G323" t="s">
        <v>511</v>
      </c>
      <c r="H323"/>
      <c r="I323" t="s">
        <v>22</v>
      </c>
      <c r="J323" t="s">
        <v>512</v>
      </c>
      <c r="K323" t="s">
        <v>513</v>
      </c>
      <c r="L323"/>
      <c r="N323" t="s">
        <v>20</v>
      </c>
      <c r="O323" t="s">
        <v>20</v>
      </c>
    </row>
    <row r="324" spans="2:15">
      <c r="B324">
        <v>4</v>
      </c>
      <c r="C324" t="s">
        <v>15</v>
      </c>
      <c r="F324" t="str">
        <f t="shared" si="6"/>
        <v>双环醇片</v>
      </c>
      <c r="G324" t="s">
        <v>514</v>
      </c>
      <c r="H324"/>
      <c r="I324" t="s">
        <v>32</v>
      </c>
      <c r="J324" t="s">
        <v>108</v>
      </c>
      <c r="K324" t="s">
        <v>28</v>
      </c>
      <c r="L324"/>
      <c r="N324" t="s">
        <v>20</v>
      </c>
      <c r="O324" t="s">
        <v>20</v>
      </c>
    </row>
    <row r="325" spans="2:15">
      <c r="B325">
        <v>4</v>
      </c>
      <c r="C325" t="s">
        <v>15</v>
      </c>
      <c r="F325" t="str">
        <f t="shared" si="6"/>
        <v>枸橼酸钾缓释片</v>
      </c>
      <c r="G325" t="s">
        <v>515</v>
      </c>
      <c r="H325"/>
      <c r="I325" t="s">
        <v>32</v>
      </c>
      <c r="J325" t="s">
        <v>516</v>
      </c>
      <c r="K325" t="s">
        <v>19</v>
      </c>
      <c r="L325"/>
      <c r="N325" t="s">
        <v>20</v>
      </c>
      <c r="O325" t="s">
        <v>20</v>
      </c>
    </row>
    <row r="326" spans="2:15">
      <c r="B326">
        <v>4</v>
      </c>
      <c r="C326" t="s">
        <v>15</v>
      </c>
      <c r="F326" t="str">
        <f t="shared" si="6"/>
        <v>枸橼酸钾颗粒</v>
      </c>
      <c r="G326" t="s">
        <v>517</v>
      </c>
      <c r="H326"/>
      <c r="I326" t="s">
        <v>17</v>
      </c>
      <c r="J326" t="s">
        <v>518</v>
      </c>
      <c r="K326" t="s">
        <v>19</v>
      </c>
      <c r="L326"/>
      <c r="N326" t="s">
        <v>20</v>
      </c>
      <c r="O326" t="s">
        <v>20</v>
      </c>
    </row>
    <row r="327" spans="2:15">
      <c r="B327">
        <v>4</v>
      </c>
      <c r="C327" t="s">
        <v>15</v>
      </c>
      <c r="F327" t="str">
        <f t="shared" si="6"/>
        <v>盐酸米诺环素胶囊</v>
      </c>
      <c r="G327" t="s">
        <v>519</v>
      </c>
      <c r="H327"/>
      <c r="I327" t="s">
        <v>22</v>
      </c>
      <c r="J327" t="s">
        <v>27</v>
      </c>
      <c r="K327" t="s">
        <v>28</v>
      </c>
      <c r="L327"/>
      <c r="N327" t="s">
        <v>20</v>
      </c>
      <c r="O327" t="s">
        <v>20</v>
      </c>
    </row>
    <row r="328" spans="2:15">
      <c r="B328">
        <v>4</v>
      </c>
      <c r="C328" t="s">
        <v>15</v>
      </c>
      <c r="F328" t="str">
        <f t="shared" si="6"/>
        <v>注射用灯盏花素</v>
      </c>
      <c r="G328" t="s">
        <v>520</v>
      </c>
      <c r="H328"/>
      <c r="I328" t="s">
        <v>137</v>
      </c>
      <c r="J328" t="s">
        <v>521</v>
      </c>
      <c r="K328" t="s">
        <v>28</v>
      </c>
      <c r="L328"/>
      <c r="N328" t="s">
        <v>20</v>
      </c>
      <c r="O328" t="s">
        <v>20</v>
      </c>
    </row>
    <row r="329" spans="2:15">
      <c r="B329">
        <v>4</v>
      </c>
      <c r="C329" t="s">
        <v>15</v>
      </c>
      <c r="F329" t="str">
        <f t="shared" si="6"/>
        <v>水飞蓟宾胶囊</v>
      </c>
      <c r="G329" t="s">
        <v>522</v>
      </c>
      <c r="H329"/>
      <c r="I329" t="s">
        <v>22</v>
      </c>
      <c r="J329" t="s">
        <v>523</v>
      </c>
      <c r="K329" t="s">
        <v>28</v>
      </c>
      <c r="L329"/>
      <c r="N329" t="s">
        <v>20</v>
      </c>
      <c r="O329" t="s">
        <v>20</v>
      </c>
    </row>
    <row r="330" spans="2:15">
      <c r="B330">
        <v>4</v>
      </c>
      <c r="C330" t="s">
        <v>15</v>
      </c>
      <c r="F330" t="str">
        <f t="shared" si="6"/>
        <v>水飞蓟素胶囊</v>
      </c>
      <c r="G330" t="s">
        <v>524</v>
      </c>
      <c r="H330"/>
      <c r="I330" t="s">
        <v>22</v>
      </c>
      <c r="J330" t="s">
        <v>525</v>
      </c>
      <c r="K330" t="s">
        <v>28</v>
      </c>
      <c r="L330"/>
      <c r="N330" t="s">
        <v>20</v>
      </c>
      <c r="O330" t="s">
        <v>20</v>
      </c>
    </row>
    <row r="331" spans="2:15">
      <c r="B331">
        <v>16</v>
      </c>
      <c r="C331" t="s">
        <v>66</v>
      </c>
      <c r="D331" t="s">
        <v>67</v>
      </c>
      <c r="F331" t="str">
        <f t="shared" si="6"/>
        <v>司美格鲁肽注射液</v>
      </c>
      <c r="G331" t="s">
        <v>526</v>
      </c>
      <c r="H331"/>
      <c r="I331" t="s">
        <v>28</v>
      </c>
      <c r="J331" t="s">
        <v>527</v>
      </c>
      <c r="K331" t="s">
        <v>28</v>
      </c>
      <c r="L331"/>
      <c r="N331" t="s">
        <v>70</v>
      </c>
      <c r="O331" t="s">
        <v>528</v>
      </c>
    </row>
    <row r="332" spans="2:15">
      <c r="B332">
        <v>16</v>
      </c>
      <c r="C332" t="s">
        <v>66</v>
      </c>
      <c r="D332" t="s">
        <v>67</v>
      </c>
      <c r="F332" t="str">
        <f t="shared" si="6"/>
        <v>司美格鲁肽注射液</v>
      </c>
      <c r="G332" t="s">
        <v>526</v>
      </c>
      <c r="H332"/>
      <c r="I332" t="s">
        <v>28</v>
      </c>
      <c r="J332" t="s">
        <v>529</v>
      </c>
      <c r="K332" t="s">
        <v>28</v>
      </c>
      <c r="L332"/>
      <c r="N332" t="s">
        <v>20</v>
      </c>
      <c r="O332" t="s">
        <v>20</v>
      </c>
    </row>
    <row r="333" spans="2:15">
      <c r="B333">
        <v>16</v>
      </c>
      <c r="C333" t="s">
        <v>66</v>
      </c>
      <c r="D333" t="s">
        <v>67</v>
      </c>
      <c r="F333" t="str">
        <f t="shared" si="6"/>
        <v>司美格鲁肽注射液</v>
      </c>
      <c r="G333" t="s">
        <v>526</v>
      </c>
      <c r="H333"/>
      <c r="I333" t="s">
        <v>28</v>
      </c>
      <c r="J333" t="s">
        <v>530</v>
      </c>
      <c r="K333" t="s">
        <v>28</v>
      </c>
      <c r="L333"/>
      <c r="N333" t="s">
        <v>421</v>
      </c>
      <c r="O333" t="s">
        <v>531</v>
      </c>
    </row>
    <row r="334" spans="2:15">
      <c r="B334">
        <v>16</v>
      </c>
      <c r="C334" t="s">
        <v>66</v>
      </c>
      <c r="D334" t="s">
        <v>67</v>
      </c>
      <c r="F334" t="str">
        <f t="shared" si="6"/>
        <v>司美格鲁肽注射液</v>
      </c>
      <c r="G334" t="s">
        <v>526</v>
      </c>
      <c r="H334"/>
      <c r="I334" t="s">
        <v>28</v>
      </c>
      <c r="J334" t="s">
        <v>532</v>
      </c>
      <c r="K334" t="s">
        <v>28</v>
      </c>
      <c r="L334"/>
      <c r="N334" t="s">
        <v>421</v>
      </c>
      <c r="O334" t="s">
        <v>531</v>
      </c>
    </row>
    <row r="335" spans="2:15">
      <c r="B335">
        <v>16</v>
      </c>
      <c r="C335" t="s">
        <v>66</v>
      </c>
      <c r="D335" t="s">
        <v>67</v>
      </c>
      <c r="F335" t="str">
        <f t="shared" si="6"/>
        <v>司美格鲁肽注射液</v>
      </c>
      <c r="G335" t="s">
        <v>526</v>
      </c>
      <c r="H335"/>
      <c r="I335" t="s">
        <v>28</v>
      </c>
      <c r="J335" t="s">
        <v>533</v>
      </c>
      <c r="K335" t="s">
        <v>28</v>
      </c>
      <c r="L335"/>
      <c r="N335" t="s">
        <v>421</v>
      </c>
      <c r="O335" t="s">
        <v>531</v>
      </c>
    </row>
    <row r="336" spans="2:15">
      <c r="B336">
        <v>4</v>
      </c>
      <c r="C336" t="s">
        <v>15</v>
      </c>
      <c r="F336" t="str">
        <f t="shared" ref="F336:F393" si="7">G336</f>
        <v>速感宁胶囊</v>
      </c>
      <c r="G336" t="s">
        <v>534</v>
      </c>
      <c r="H336"/>
      <c r="I336" t="s">
        <v>22</v>
      </c>
      <c r="J336" t="s">
        <v>234</v>
      </c>
      <c r="K336" t="s">
        <v>19</v>
      </c>
      <c r="L336"/>
      <c r="N336" t="s">
        <v>20</v>
      </c>
      <c r="O336" t="s">
        <v>20</v>
      </c>
    </row>
    <row r="337" spans="2:15">
      <c r="B337">
        <v>4</v>
      </c>
      <c r="C337" t="s">
        <v>15</v>
      </c>
      <c r="F337" t="str">
        <f t="shared" si="7"/>
        <v>他克莫司胶囊</v>
      </c>
      <c r="G337" t="s">
        <v>535</v>
      </c>
      <c r="H337"/>
      <c r="I337" t="s">
        <v>22</v>
      </c>
      <c r="J337" t="s">
        <v>536</v>
      </c>
      <c r="K337" t="s">
        <v>28</v>
      </c>
      <c r="L337"/>
      <c r="N337" t="s">
        <v>20</v>
      </c>
      <c r="O337" t="s">
        <v>20</v>
      </c>
    </row>
    <row r="338" spans="2:15">
      <c r="B338">
        <v>4</v>
      </c>
      <c r="C338" t="s">
        <v>15</v>
      </c>
      <c r="F338" t="str">
        <f t="shared" si="7"/>
        <v>碳酸钙D3咀嚼片</v>
      </c>
      <c r="G338" t="s">
        <v>537</v>
      </c>
      <c r="H338"/>
      <c r="I338" t="s">
        <v>32</v>
      </c>
      <c r="J338" t="s">
        <v>538</v>
      </c>
      <c r="K338" t="s">
        <v>28</v>
      </c>
      <c r="L338"/>
      <c r="N338" t="s">
        <v>20</v>
      </c>
      <c r="O338" t="s">
        <v>20</v>
      </c>
    </row>
    <row r="339" spans="2:15">
      <c r="B339">
        <v>4</v>
      </c>
      <c r="C339" t="s">
        <v>15</v>
      </c>
      <c r="F339" t="str">
        <f t="shared" si="7"/>
        <v>碳酸钙D3片（Ⅰ）</v>
      </c>
      <c r="G339" t="s">
        <v>539</v>
      </c>
      <c r="H339"/>
      <c r="I339" t="s">
        <v>32</v>
      </c>
      <c r="J339" t="s">
        <v>540</v>
      </c>
      <c r="K339" t="s">
        <v>28</v>
      </c>
      <c r="L339"/>
      <c r="N339" t="s">
        <v>20</v>
      </c>
      <c r="O339" t="s">
        <v>20</v>
      </c>
    </row>
    <row r="340" spans="2:15">
      <c r="B340">
        <v>4</v>
      </c>
      <c r="C340" t="s">
        <v>15</v>
      </c>
      <c r="F340" t="str">
        <f t="shared" si="7"/>
        <v>碳酸镧咀嚼片</v>
      </c>
      <c r="G340" t="s">
        <v>541</v>
      </c>
      <c r="H340"/>
      <c r="I340" t="s">
        <v>32</v>
      </c>
      <c r="J340" t="s">
        <v>406</v>
      </c>
      <c r="K340" t="s">
        <v>28</v>
      </c>
      <c r="L340"/>
      <c r="N340" t="s">
        <v>20</v>
      </c>
      <c r="O340" t="s">
        <v>20</v>
      </c>
    </row>
    <row r="341" spans="2:15">
      <c r="B341">
        <v>4</v>
      </c>
      <c r="C341" t="s">
        <v>15</v>
      </c>
      <c r="F341" t="str">
        <f t="shared" si="7"/>
        <v>碳酸氢钠片</v>
      </c>
      <c r="G341" t="s">
        <v>542</v>
      </c>
      <c r="H341"/>
      <c r="I341" t="s">
        <v>32</v>
      </c>
      <c r="J341" t="s">
        <v>279</v>
      </c>
      <c r="K341" t="s">
        <v>19</v>
      </c>
      <c r="L341"/>
      <c r="N341" t="s">
        <v>20</v>
      </c>
      <c r="O341" t="s">
        <v>20</v>
      </c>
    </row>
    <row r="342" spans="2:15">
      <c r="B342">
        <v>4</v>
      </c>
      <c r="C342" t="s">
        <v>15</v>
      </c>
      <c r="F342" t="str">
        <f t="shared" si="7"/>
        <v>甲亢灵片</v>
      </c>
      <c r="G342" t="s">
        <v>543</v>
      </c>
      <c r="H342"/>
      <c r="I342" t="s">
        <v>32</v>
      </c>
      <c r="J342" t="s">
        <v>544</v>
      </c>
      <c r="K342" t="s">
        <v>19</v>
      </c>
      <c r="L342"/>
      <c r="N342" t="s">
        <v>20</v>
      </c>
      <c r="O342" t="s">
        <v>20</v>
      </c>
    </row>
    <row r="343" spans="2:15">
      <c r="B343">
        <v>4</v>
      </c>
      <c r="C343" t="s">
        <v>15</v>
      </c>
      <c r="F343" t="str">
        <f t="shared" si="7"/>
        <v>碳酸司维拉姆片</v>
      </c>
      <c r="G343" t="s">
        <v>545</v>
      </c>
      <c r="H343"/>
      <c r="I343" t="s">
        <v>32</v>
      </c>
      <c r="J343" t="s">
        <v>546</v>
      </c>
      <c r="K343" t="s">
        <v>28</v>
      </c>
      <c r="L343"/>
      <c r="N343" t="s">
        <v>20</v>
      </c>
      <c r="O343" t="s">
        <v>20</v>
      </c>
    </row>
    <row r="344" spans="2:15">
      <c r="B344">
        <v>4</v>
      </c>
      <c r="C344" t="s">
        <v>15</v>
      </c>
      <c r="F344" t="str">
        <f t="shared" si="7"/>
        <v>连花清瘟胶囊</v>
      </c>
      <c r="G344" t="s">
        <v>547</v>
      </c>
      <c r="H344"/>
      <c r="I344" t="s">
        <v>22</v>
      </c>
      <c r="J344" t="s">
        <v>333</v>
      </c>
      <c r="K344" t="s">
        <v>19</v>
      </c>
      <c r="L344"/>
      <c r="N344" t="s">
        <v>20</v>
      </c>
      <c r="O344" t="s">
        <v>20</v>
      </c>
    </row>
    <row r="345" spans="2:15">
      <c r="B345">
        <v>4</v>
      </c>
      <c r="C345" t="s">
        <v>15</v>
      </c>
      <c r="F345" t="str">
        <f t="shared" si="7"/>
        <v>替勃龙片</v>
      </c>
      <c r="G345" t="s">
        <v>548</v>
      </c>
      <c r="H345"/>
      <c r="I345" t="s">
        <v>32</v>
      </c>
      <c r="J345" t="s">
        <v>106</v>
      </c>
      <c r="K345" t="s">
        <v>28</v>
      </c>
      <c r="L345"/>
      <c r="N345" t="s">
        <v>20</v>
      </c>
      <c r="O345" t="s">
        <v>20</v>
      </c>
    </row>
    <row r="346" spans="2:15">
      <c r="B346">
        <v>16</v>
      </c>
      <c r="C346" t="s">
        <v>66</v>
      </c>
      <c r="D346" t="s">
        <v>67</v>
      </c>
      <c r="F346" t="str">
        <f t="shared" si="7"/>
        <v>替尔泊肽注射液</v>
      </c>
      <c r="G346" t="s">
        <v>549</v>
      </c>
      <c r="H346"/>
      <c r="I346" t="s">
        <v>28</v>
      </c>
      <c r="J346" t="s">
        <v>550</v>
      </c>
      <c r="K346" t="s">
        <v>28</v>
      </c>
      <c r="L346"/>
      <c r="N346" t="s">
        <v>421</v>
      </c>
      <c r="O346" t="s">
        <v>551</v>
      </c>
    </row>
    <row r="347" spans="2:15">
      <c r="B347">
        <v>16</v>
      </c>
      <c r="C347" t="s">
        <v>66</v>
      </c>
      <c r="D347" t="s">
        <v>67</v>
      </c>
      <c r="F347" t="str">
        <f t="shared" si="7"/>
        <v>替尔泊肽注射液</v>
      </c>
      <c r="G347" t="s">
        <v>549</v>
      </c>
      <c r="H347"/>
      <c r="I347" t="s">
        <v>28</v>
      </c>
      <c r="J347" t="s">
        <v>552</v>
      </c>
      <c r="K347" t="s">
        <v>28</v>
      </c>
      <c r="L347"/>
      <c r="N347" t="s">
        <v>421</v>
      </c>
      <c r="O347" t="s">
        <v>551</v>
      </c>
    </row>
    <row r="348" spans="2:15">
      <c r="B348">
        <v>16</v>
      </c>
      <c r="C348" t="s">
        <v>66</v>
      </c>
      <c r="D348" t="s">
        <v>67</v>
      </c>
      <c r="F348" t="str">
        <f t="shared" si="7"/>
        <v>替尔泊肽注射液</v>
      </c>
      <c r="G348" t="s">
        <v>549</v>
      </c>
      <c r="H348"/>
      <c r="I348" t="s">
        <v>28</v>
      </c>
      <c r="J348" t="s">
        <v>553</v>
      </c>
      <c r="K348" t="s">
        <v>28</v>
      </c>
      <c r="L348"/>
      <c r="N348" t="s">
        <v>421</v>
      </c>
      <c r="O348" t="s">
        <v>551</v>
      </c>
    </row>
    <row r="349" spans="2:15">
      <c r="B349">
        <v>16</v>
      </c>
      <c r="C349" t="s">
        <v>66</v>
      </c>
      <c r="D349" t="s">
        <v>67</v>
      </c>
      <c r="F349" t="str">
        <f t="shared" si="7"/>
        <v>替尔泊肽注射液</v>
      </c>
      <c r="G349" t="s">
        <v>549</v>
      </c>
      <c r="H349"/>
      <c r="I349" t="s">
        <v>28</v>
      </c>
      <c r="J349" t="s">
        <v>554</v>
      </c>
      <c r="K349" t="s">
        <v>28</v>
      </c>
      <c r="L349"/>
      <c r="N349" t="s">
        <v>421</v>
      </c>
      <c r="O349" t="s">
        <v>551</v>
      </c>
    </row>
    <row r="350" spans="2:15">
      <c r="B350">
        <v>16</v>
      </c>
      <c r="C350" t="s">
        <v>66</v>
      </c>
      <c r="D350" t="s">
        <v>67</v>
      </c>
      <c r="F350" t="str">
        <f t="shared" si="7"/>
        <v>替尔泊肽注射液</v>
      </c>
      <c r="G350" t="s">
        <v>549</v>
      </c>
      <c r="H350"/>
      <c r="I350" t="s">
        <v>28</v>
      </c>
      <c r="J350" t="s">
        <v>555</v>
      </c>
      <c r="K350" t="s">
        <v>28</v>
      </c>
      <c r="L350"/>
      <c r="N350" t="s">
        <v>421</v>
      </c>
      <c r="O350" t="s">
        <v>551</v>
      </c>
    </row>
    <row r="351" spans="2:15">
      <c r="B351">
        <v>16</v>
      </c>
      <c r="C351" t="s">
        <v>66</v>
      </c>
      <c r="D351" t="s">
        <v>67</v>
      </c>
      <c r="F351" t="str">
        <f t="shared" si="7"/>
        <v>替尔泊肽注射液</v>
      </c>
      <c r="G351" t="s">
        <v>549</v>
      </c>
      <c r="H351"/>
      <c r="I351" t="s">
        <v>28</v>
      </c>
      <c r="J351" t="s">
        <v>556</v>
      </c>
      <c r="K351" t="s">
        <v>28</v>
      </c>
      <c r="L351"/>
      <c r="N351" t="s">
        <v>421</v>
      </c>
      <c r="O351" t="s">
        <v>551</v>
      </c>
    </row>
    <row r="352" spans="2:15">
      <c r="B352">
        <v>4</v>
      </c>
      <c r="C352" t="s">
        <v>15</v>
      </c>
      <c r="F352" t="str">
        <f t="shared" si="7"/>
        <v>替格瑞洛片</v>
      </c>
      <c r="G352" t="s">
        <v>557</v>
      </c>
      <c r="H352"/>
      <c r="I352" t="s">
        <v>32</v>
      </c>
      <c r="J352" t="s">
        <v>558</v>
      </c>
      <c r="K352" t="s">
        <v>28</v>
      </c>
      <c r="L352"/>
      <c r="N352" t="s">
        <v>20</v>
      </c>
      <c r="O352" t="s">
        <v>20</v>
      </c>
    </row>
    <row r="353" spans="2:15">
      <c r="B353">
        <v>2</v>
      </c>
      <c r="C353" t="s">
        <v>36</v>
      </c>
      <c r="F353" t="str">
        <f t="shared" si="7"/>
        <v>替米沙坦片</v>
      </c>
      <c r="G353" t="s">
        <v>559</v>
      </c>
      <c r="H353"/>
      <c r="I353" t="s">
        <v>32</v>
      </c>
      <c r="J353" t="s">
        <v>52</v>
      </c>
      <c r="K353" t="s">
        <v>28</v>
      </c>
      <c r="L353"/>
      <c r="N353" t="s">
        <v>20</v>
      </c>
      <c r="O353" t="s">
        <v>20</v>
      </c>
    </row>
    <row r="354" spans="2:15">
      <c r="B354">
        <v>4</v>
      </c>
      <c r="C354" t="s">
        <v>15</v>
      </c>
      <c r="F354" t="str">
        <f t="shared" si="7"/>
        <v>天丹通络片</v>
      </c>
      <c r="G354" t="s">
        <v>560</v>
      </c>
      <c r="H354"/>
      <c r="I354" t="s">
        <v>32</v>
      </c>
      <c r="J354" t="s">
        <v>561</v>
      </c>
      <c r="K354" t="s">
        <v>19</v>
      </c>
      <c r="L354"/>
      <c r="N354" t="s">
        <v>20</v>
      </c>
      <c r="O354" t="s">
        <v>20</v>
      </c>
    </row>
    <row r="355" spans="2:15">
      <c r="B355">
        <v>4</v>
      </c>
      <c r="C355" t="s">
        <v>15</v>
      </c>
      <c r="F355" t="str">
        <f t="shared" si="7"/>
        <v>天麦消渴片</v>
      </c>
      <c r="G355" t="s">
        <v>562</v>
      </c>
      <c r="H355"/>
      <c r="I355" t="s">
        <v>32</v>
      </c>
      <c r="J355" t="s">
        <v>563</v>
      </c>
      <c r="K355" t="s">
        <v>19</v>
      </c>
      <c r="L355"/>
      <c r="N355" t="s">
        <v>20</v>
      </c>
      <c r="O355" t="s">
        <v>20</v>
      </c>
    </row>
    <row r="356" spans="2:15">
      <c r="B356">
        <v>1</v>
      </c>
      <c r="C356" t="s">
        <v>25</v>
      </c>
      <c r="F356" t="str">
        <f t="shared" si="7"/>
        <v>天芪降糖胶囊</v>
      </c>
      <c r="G356" t="s">
        <v>564</v>
      </c>
      <c r="H356"/>
      <c r="I356" t="s">
        <v>22</v>
      </c>
      <c r="J356" t="s">
        <v>565</v>
      </c>
      <c r="K356" t="s">
        <v>19</v>
      </c>
      <c r="L356"/>
      <c r="N356" t="s">
        <v>20</v>
      </c>
      <c r="O356" t="s">
        <v>20</v>
      </c>
    </row>
    <row r="357" spans="2:15">
      <c r="B357">
        <v>4</v>
      </c>
      <c r="C357" t="s">
        <v>15</v>
      </c>
      <c r="F357" t="str">
        <f t="shared" si="7"/>
        <v>通脉降糖胶囊</v>
      </c>
      <c r="G357" t="s">
        <v>566</v>
      </c>
      <c r="H357"/>
      <c r="I357" t="s">
        <v>22</v>
      </c>
      <c r="J357" t="s">
        <v>447</v>
      </c>
      <c r="K357" t="s">
        <v>19</v>
      </c>
      <c r="L357"/>
      <c r="N357" t="s">
        <v>20</v>
      </c>
      <c r="O357" t="s">
        <v>20</v>
      </c>
    </row>
    <row r="358" spans="2:15">
      <c r="B358">
        <v>4</v>
      </c>
      <c r="C358" t="s">
        <v>15</v>
      </c>
      <c r="F358" t="str">
        <f t="shared" si="7"/>
        <v>洛芬待因缓释片</v>
      </c>
      <c r="G358" t="s">
        <v>567</v>
      </c>
      <c r="H358"/>
      <c r="I358" t="s">
        <v>32</v>
      </c>
      <c r="J358" t="s">
        <v>568</v>
      </c>
      <c r="K358" t="s">
        <v>28</v>
      </c>
      <c r="L358"/>
      <c r="N358" t="s">
        <v>20</v>
      </c>
      <c r="O358" t="s">
        <v>20</v>
      </c>
    </row>
    <row r="359" spans="2:15">
      <c r="B359">
        <v>4</v>
      </c>
      <c r="C359" t="s">
        <v>15</v>
      </c>
      <c r="F359" t="str">
        <f t="shared" si="7"/>
        <v>清咽滴丸</v>
      </c>
      <c r="G359" t="s">
        <v>569</v>
      </c>
      <c r="H359"/>
      <c r="I359" t="s">
        <v>181</v>
      </c>
      <c r="J359" t="s">
        <v>570</v>
      </c>
      <c r="K359" t="s">
        <v>28</v>
      </c>
      <c r="L359"/>
      <c r="N359" t="s">
        <v>20</v>
      </c>
      <c r="O359" t="s">
        <v>20</v>
      </c>
    </row>
    <row r="360" spans="2:15">
      <c r="B360">
        <v>4</v>
      </c>
      <c r="C360" t="s">
        <v>15</v>
      </c>
      <c r="F360" t="str">
        <f t="shared" si="7"/>
        <v>头孢地尼分散片</v>
      </c>
      <c r="G360" t="s">
        <v>571</v>
      </c>
      <c r="H360"/>
      <c r="I360" t="s">
        <v>32</v>
      </c>
      <c r="J360" t="s">
        <v>35</v>
      </c>
      <c r="K360" t="s">
        <v>28</v>
      </c>
      <c r="L360"/>
      <c r="N360" t="s">
        <v>20</v>
      </c>
      <c r="O360" t="s">
        <v>20</v>
      </c>
    </row>
    <row r="361" spans="2:15">
      <c r="B361">
        <v>4</v>
      </c>
      <c r="C361" t="s">
        <v>15</v>
      </c>
      <c r="F361" t="str">
        <f t="shared" si="7"/>
        <v>热淋清胶囊</v>
      </c>
      <c r="G361" t="s">
        <v>572</v>
      </c>
      <c r="H361"/>
      <c r="I361" t="s">
        <v>22</v>
      </c>
      <c r="J361" t="s">
        <v>234</v>
      </c>
      <c r="K361" t="s">
        <v>19</v>
      </c>
      <c r="L361"/>
      <c r="N361" t="s">
        <v>20</v>
      </c>
      <c r="O361" t="s">
        <v>20</v>
      </c>
    </row>
    <row r="362" spans="2:15">
      <c r="B362">
        <v>4</v>
      </c>
      <c r="C362" t="s">
        <v>15</v>
      </c>
      <c r="F362" t="str">
        <f t="shared" si="7"/>
        <v>头孢丙烯片</v>
      </c>
      <c r="G362" t="s">
        <v>573</v>
      </c>
      <c r="H362"/>
      <c r="I362" t="s">
        <v>32</v>
      </c>
      <c r="J362" t="s">
        <v>279</v>
      </c>
      <c r="K362" t="s">
        <v>19</v>
      </c>
      <c r="L362"/>
      <c r="N362" t="s">
        <v>20</v>
      </c>
      <c r="O362" t="s">
        <v>20</v>
      </c>
    </row>
    <row r="363" spans="2:15">
      <c r="B363">
        <v>3</v>
      </c>
      <c r="C363" t="s">
        <v>59</v>
      </c>
      <c r="F363" t="str">
        <f t="shared" si="7"/>
        <v>托伐普坦片</v>
      </c>
      <c r="G363" t="s">
        <v>574</v>
      </c>
      <c r="H363"/>
      <c r="I363" t="s">
        <v>32</v>
      </c>
      <c r="J363" t="s">
        <v>575</v>
      </c>
      <c r="K363" t="s">
        <v>28</v>
      </c>
      <c r="L363"/>
      <c r="N363" t="s">
        <v>20</v>
      </c>
      <c r="O363" t="s">
        <v>20</v>
      </c>
    </row>
    <row r="364" spans="2:15">
      <c r="B364">
        <v>4</v>
      </c>
      <c r="C364" t="s">
        <v>15</v>
      </c>
      <c r="F364" t="str">
        <f t="shared" si="7"/>
        <v>托拉塞米片</v>
      </c>
      <c r="G364" t="s">
        <v>576</v>
      </c>
      <c r="H364"/>
      <c r="I364" t="s">
        <v>32</v>
      </c>
      <c r="J364" t="s">
        <v>61</v>
      </c>
      <c r="K364" t="s">
        <v>28</v>
      </c>
      <c r="L364"/>
      <c r="N364" t="s">
        <v>20</v>
      </c>
      <c r="O364" t="s">
        <v>20</v>
      </c>
    </row>
    <row r="365" spans="2:15">
      <c r="B365">
        <v>1</v>
      </c>
      <c r="C365" t="s">
        <v>25</v>
      </c>
      <c r="F365" t="str">
        <f t="shared" si="7"/>
        <v>维格列汀片</v>
      </c>
      <c r="G365" t="s">
        <v>577</v>
      </c>
      <c r="H365"/>
      <c r="I365" t="s">
        <v>32</v>
      </c>
      <c r="J365" t="s">
        <v>33</v>
      </c>
      <c r="K365" t="s">
        <v>28</v>
      </c>
      <c r="L365"/>
      <c r="N365" t="s">
        <v>109</v>
      </c>
      <c r="O365" t="s">
        <v>110</v>
      </c>
    </row>
    <row r="366" spans="2:15">
      <c r="B366">
        <v>4</v>
      </c>
      <c r="C366" t="s">
        <v>15</v>
      </c>
      <c r="F366" t="str">
        <f t="shared" si="7"/>
        <v>维生素B1片</v>
      </c>
      <c r="G366" t="s">
        <v>578</v>
      </c>
      <c r="H366"/>
      <c r="I366" t="s">
        <v>32</v>
      </c>
      <c r="J366" t="s">
        <v>61</v>
      </c>
      <c r="K366" t="s">
        <v>28</v>
      </c>
      <c r="L366"/>
      <c r="N366" t="s">
        <v>20</v>
      </c>
      <c r="O366" t="s">
        <v>20</v>
      </c>
    </row>
    <row r="367" spans="2:15">
      <c r="B367">
        <v>4</v>
      </c>
      <c r="C367" t="s">
        <v>15</v>
      </c>
      <c r="F367" t="str">
        <f t="shared" si="7"/>
        <v>维生素B2片</v>
      </c>
      <c r="G367" t="s">
        <v>579</v>
      </c>
      <c r="H367"/>
      <c r="I367" t="s">
        <v>32</v>
      </c>
      <c r="J367" t="s">
        <v>76</v>
      </c>
      <c r="K367" t="s">
        <v>28</v>
      </c>
      <c r="L367"/>
      <c r="N367" t="s">
        <v>20</v>
      </c>
      <c r="O367" t="s">
        <v>20</v>
      </c>
    </row>
    <row r="368" spans="2:15">
      <c r="B368">
        <v>4</v>
      </c>
      <c r="C368" t="s">
        <v>15</v>
      </c>
      <c r="F368" t="str">
        <f t="shared" si="7"/>
        <v>维生素B6片</v>
      </c>
      <c r="G368" t="s">
        <v>580</v>
      </c>
      <c r="H368"/>
      <c r="I368" t="s">
        <v>32</v>
      </c>
      <c r="J368" t="s">
        <v>61</v>
      </c>
      <c r="K368" t="s">
        <v>28</v>
      </c>
      <c r="L368"/>
      <c r="N368" t="s">
        <v>20</v>
      </c>
      <c r="O368" t="s">
        <v>20</v>
      </c>
    </row>
    <row r="369" spans="2:15">
      <c r="B369">
        <v>4</v>
      </c>
      <c r="C369" t="s">
        <v>15</v>
      </c>
      <c r="F369" t="str">
        <f t="shared" si="7"/>
        <v>维生素C片</v>
      </c>
      <c r="G369" t="s">
        <v>581</v>
      </c>
      <c r="H369"/>
      <c r="I369" t="s">
        <v>32</v>
      </c>
      <c r="J369" t="s">
        <v>65</v>
      </c>
      <c r="K369" t="s">
        <v>19</v>
      </c>
      <c r="L369"/>
      <c r="N369" t="s">
        <v>20</v>
      </c>
      <c r="O369" t="s">
        <v>20</v>
      </c>
    </row>
    <row r="370" spans="2:15">
      <c r="B370">
        <v>4</v>
      </c>
      <c r="C370" t="s">
        <v>15</v>
      </c>
      <c r="F370" t="str">
        <f t="shared" si="7"/>
        <v>维生素D滴剂</v>
      </c>
      <c r="G370" t="s">
        <v>582</v>
      </c>
      <c r="H370"/>
      <c r="I370" t="s">
        <v>32</v>
      </c>
      <c r="J370" t="s">
        <v>583</v>
      </c>
      <c r="K370" t="s">
        <v>139</v>
      </c>
      <c r="L370"/>
      <c r="N370" t="s">
        <v>20</v>
      </c>
      <c r="O370" t="s">
        <v>20</v>
      </c>
    </row>
    <row r="371" spans="2:15">
      <c r="B371">
        <v>4</v>
      </c>
      <c r="C371" t="s">
        <v>15</v>
      </c>
      <c r="F371" t="str">
        <f t="shared" si="7"/>
        <v>诺氟沙星片</v>
      </c>
      <c r="G371" t="s">
        <v>584</v>
      </c>
      <c r="H371"/>
      <c r="I371" t="s">
        <v>32</v>
      </c>
      <c r="J371" t="s">
        <v>65</v>
      </c>
      <c r="K371" t="s">
        <v>19</v>
      </c>
      <c r="L371"/>
      <c r="N371" t="s">
        <v>20</v>
      </c>
      <c r="O371" t="s">
        <v>20</v>
      </c>
    </row>
    <row r="372" spans="2:15">
      <c r="B372">
        <v>2</v>
      </c>
      <c r="C372" t="s">
        <v>36</v>
      </c>
      <c r="F372" t="str">
        <f t="shared" si="7"/>
        <v>乌拉地尔缓释胶囊</v>
      </c>
      <c r="G372" t="s">
        <v>585</v>
      </c>
      <c r="H372"/>
      <c r="I372" t="s">
        <v>22</v>
      </c>
      <c r="J372" t="s">
        <v>586</v>
      </c>
      <c r="K372" t="s">
        <v>28</v>
      </c>
      <c r="L372"/>
      <c r="N372" t="s">
        <v>20</v>
      </c>
      <c r="O372" t="s">
        <v>20</v>
      </c>
    </row>
    <row r="373" spans="2:15">
      <c r="B373">
        <v>1</v>
      </c>
      <c r="C373" t="s">
        <v>25</v>
      </c>
      <c r="F373" t="str">
        <f t="shared" si="7"/>
        <v>西格列汀二甲双胍片（I）</v>
      </c>
      <c r="G373" t="s">
        <v>587</v>
      </c>
      <c r="H373"/>
      <c r="I373" t="s">
        <v>32</v>
      </c>
      <c r="J373" t="s">
        <v>588</v>
      </c>
      <c r="K373" t="s">
        <v>28</v>
      </c>
      <c r="L373"/>
      <c r="N373" t="s">
        <v>203</v>
      </c>
      <c r="O373" t="s">
        <v>204</v>
      </c>
    </row>
    <row r="374" spans="2:15">
      <c r="B374">
        <v>1</v>
      </c>
      <c r="C374" t="s">
        <v>25</v>
      </c>
      <c r="F374" t="str">
        <f t="shared" si="7"/>
        <v>西格列汀二甲双胍片（II）</v>
      </c>
      <c r="G374" t="s">
        <v>589</v>
      </c>
      <c r="H374"/>
      <c r="I374" t="s">
        <v>32</v>
      </c>
      <c r="J374" t="s">
        <v>202</v>
      </c>
      <c r="K374" t="s">
        <v>28</v>
      </c>
      <c r="L374"/>
      <c r="N374" t="s">
        <v>203</v>
      </c>
      <c r="O374" t="s">
        <v>204</v>
      </c>
    </row>
    <row r="375" spans="2:15">
      <c r="B375">
        <v>4</v>
      </c>
      <c r="C375" t="s">
        <v>15</v>
      </c>
      <c r="F375" t="str">
        <f t="shared" si="7"/>
        <v>西洛他唑片</v>
      </c>
      <c r="G375" t="s">
        <v>590</v>
      </c>
      <c r="H375"/>
      <c r="I375" t="s">
        <v>32</v>
      </c>
      <c r="J375" t="s">
        <v>33</v>
      </c>
      <c r="K375" t="s">
        <v>28</v>
      </c>
      <c r="L375"/>
      <c r="N375" t="s">
        <v>20</v>
      </c>
      <c r="O375" t="s">
        <v>20</v>
      </c>
    </row>
    <row r="376" spans="2:15">
      <c r="B376">
        <v>2</v>
      </c>
      <c r="C376" t="s">
        <v>36</v>
      </c>
      <c r="F376" t="str">
        <f t="shared" si="7"/>
        <v>西尼地平片</v>
      </c>
      <c r="G376" t="s">
        <v>591</v>
      </c>
      <c r="H376"/>
      <c r="I376" t="s">
        <v>32</v>
      </c>
      <c r="J376" t="s">
        <v>61</v>
      </c>
      <c r="K376" t="s">
        <v>28</v>
      </c>
      <c r="L376"/>
      <c r="N376" t="s">
        <v>20</v>
      </c>
      <c r="O376" t="s">
        <v>20</v>
      </c>
    </row>
    <row r="377" spans="2:15">
      <c r="B377">
        <v>4</v>
      </c>
      <c r="C377" t="s">
        <v>15</v>
      </c>
      <c r="F377" t="str">
        <f t="shared" si="7"/>
        <v>吸入用布地奈德混悬液</v>
      </c>
      <c r="G377" t="s">
        <v>592</v>
      </c>
      <c r="H377"/>
      <c r="I377" t="s">
        <v>137</v>
      </c>
      <c r="J377" t="s">
        <v>593</v>
      </c>
      <c r="K377" t="s">
        <v>28</v>
      </c>
      <c r="L377"/>
      <c r="N377" t="s">
        <v>20</v>
      </c>
      <c r="O377" t="s">
        <v>20</v>
      </c>
    </row>
    <row r="378" spans="2:15">
      <c r="B378">
        <v>4</v>
      </c>
      <c r="C378" t="s">
        <v>15</v>
      </c>
      <c r="F378" t="str">
        <f t="shared" si="7"/>
        <v>多巴丝肼片</v>
      </c>
      <c r="G378" t="s">
        <v>594</v>
      </c>
      <c r="H378"/>
      <c r="I378" t="s">
        <v>32</v>
      </c>
      <c r="J378" t="s">
        <v>595</v>
      </c>
      <c r="K378" t="s">
        <v>28</v>
      </c>
      <c r="L378"/>
      <c r="N378" t="s">
        <v>20</v>
      </c>
      <c r="O378" t="s">
        <v>20</v>
      </c>
    </row>
    <row r="379" spans="2:15">
      <c r="B379">
        <v>4</v>
      </c>
      <c r="C379" t="s">
        <v>15</v>
      </c>
      <c r="F379" t="str">
        <f t="shared" si="7"/>
        <v>腺苷钴胺片</v>
      </c>
      <c r="G379" t="s">
        <v>596</v>
      </c>
      <c r="H379"/>
      <c r="I379" t="s">
        <v>32</v>
      </c>
      <c r="J379" t="s">
        <v>164</v>
      </c>
      <c r="K379" t="s">
        <v>28</v>
      </c>
      <c r="L379"/>
      <c r="N379" t="s">
        <v>20</v>
      </c>
      <c r="O379" t="s">
        <v>20</v>
      </c>
    </row>
    <row r="380" spans="2:15">
      <c r="B380">
        <v>1</v>
      </c>
      <c r="C380" t="s">
        <v>25</v>
      </c>
      <c r="F380" t="str">
        <f t="shared" si="7"/>
        <v>消渴丸</v>
      </c>
      <c r="G380" t="s">
        <v>597</v>
      </c>
      <c r="H380"/>
      <c r="I380" t="s">
        <v>598</v>
      </c>
      <c r="J380" t="s">
        <v>599</v>
      </c>
      <c r="K380" t="s">
        <v>19</v>
      </c>
      <c r="L380"/>
      <c r="N380" t="s">
        <v>20</v>
      </c>
      <c r="O380" t="s">
        <v>20</v>
      </c>
    </row>
    <row r="381" spans="2:15">
      <c r="B381">
        <v>2</v>
      </c>
      <c r="C381" t="s">
        <v>36</v>
      </c>
      <c r="F381" t="str">
        <f t="shared" si="7"/>
        <v>硝苯地平控释片</v>
      </c>
      <c r="G381" t="s">
        <v>600</v>
      </c>
      <c r="H381"/>
      <c r="I381" t="s">
        <v>32</v>
      </c>
      <c r="J381" t="s">
        <v>265</v>
      </c>
      <c r="K381" t="s">
        <v>28</v>
      </c>
      <c r="L381"/>
      <c r="N381" t="s">
        <v>20</v>
      </c>
      <c r="O381" t="s">
        <v>20</v>
      </c>
    </row>
    <row r="382" spans="2:15">
      <c r="B382">
        <v>2</v>
      </c>
      <c r="C382" t="s">
        <v>36</v>
      </c>
      <c r="F382" t="str">
        <f t="shared" si="7"/>
        <v>硝苯地平片</v>
      </c>
      <c r="G382" t="s">
        <v>601</v>
      </c>
      <c r="H382"/>
      <c r="I382" t="s">
        <v>32</v>
      </c>
      <c r="J382" t="s">
        <v>76</v>
      </c>
      <c r="K382" t="s">
        <v>28</v>
      </c>
      <c r="L382"/>
      <c r="N382" t="s">
        <v>20</v>
      </c>
      <c r="O382" t="s">
        <v>20</v>
      </c>
    </row>
    <row r="383" spans="2:15">
      <c r="B383">
        <v>4</v>
      </c>
      <c r="C383" t="s">
        <v>15</v>
      </c>
      <c r="F383" t="str">
        <f t="shared" si="7"/>
        <v>玉屏风颗粒</v>
      </c>
      <c r="G383" t="s">
        <v>602</v>
      </c>
      <c r="H383"/>
      <c r="I383" t="s">
        <v>17</v>
      </c>
      <c r="J383" t="s">
        <v>174</v>
      </c>
      <c r="K383" t="s">
        <v>19</v>
      </c>
      <c r="L383"/>
      <c r="N383" t="s">
        <v>20</v>
      </c>
      <c r="O383" t="s">
        <v>20</v>
      </c>
    </row>
    <row r="384" spans="2:15">
      <c r="B384">
        <v>4</v>
      </c>
      <c r="C384" t="s">
        <v>15</v>
      </c>
      <c r="F384" t="str">
        <f t="shared" si="7"/>
        <v>枸橼酸钾颗粒</v>
      </c>
      <c r="G384" t="s">
        <v>517</v>
      </c>
      <c r="H384"/>
      <c r="I384" t="s">
        <v>17</v>
      </c>
      <c r="J384" t="s">
        <v>603</v>
      </c>
      <c r="K384" t="s">
        <v>19</v>
      </c>
      <c r="L384"/>
      <c r="N384" t="s">
        <v>20</v>
      </c>
      <c r="O384" t="s">
        <v>20</v>
      </c>
    </row>
    <row r="385" spans="2:15">
      <c r="B385">
        <v>2</v>
      </c>
      <c r="C385" t="s">
        <v>36</v>
      </c>
      <c r="F385" t="str">
        <f t="shared" si="7"/>
        <v>缬沙坦氨氯地平片（I）</v>
      </c>
      <c r="G385" t="s">
        <v>604</v>
      </c>
      <c r="H385"/>
      <c r="I385" t="s">
        <v>32</v>
      </c>
      <c r="J385" t="s">
        <v>605</v>
      </c>
      <c r="K385" t="s">
        <v>28</v>
      </c>
      <c r="L385"/>
      <c r="N385" t="s">
        <v>20</v>
      </c>
      <c r="O385" t="s">
        <v>20</v>
      </c>
    </row>
    <row r="386" spans="2:15">
      <c r="B386">
        <v>2</v>
      </c>
      <c r="C386" t="s">
        <v>36</v>
      </c>
      <c r="F386" t="str">
        <f t="shared" si="7"/>
        <v>缬沙坦胶囊</v>
      </c>
      <c r="G386" t="s">
        <v>606</v>
      </c>
      <c r="H386"/>
      <c r="I386" t="s">
        <v>22</v>
      </c>
      <c r="J386" t="s">
        <v>607</v>
      </c>
      <c r="K386" t="s">
        <v>28</v>
      </c>
      <c r="L386"/>
      <c r="N386" t="s">
        <v>20</v>
      </c>
      <c r="O386" t="s">
        <v>20</v>
      </c>
    </row>
    <row r="387" spans="2:15">
      <c r="B387">
        <v>2</v>
      </c>
      <c r="C387" t="s">
        <v>36</v>
      </c>
      <c r="F387" t="str">
        <f t="shared" si="7"/>
        <v>缬沙坦片</v>
      </c>
      <c r="G387" t="s">
        <v>608</v>
      </c>
      <c r="H387"/>
      <c r="I387" t="s">
        <v>32</v>
      </c>
      <c r="J387" t="s">
        <v>38</v>
      </c>
      <c r="K387" t="s">
        <v>28</v>
      </c>
      <c r="L387"/>
      <c r="N387" t="s">
        <v>20</v>
      </c>
      <c r="O387" t="s">
        <v>20</v>
      </c>
    </row>
    <row r="388" spans="2:15">
      <c r="B388">
        <v>2</v>
      </c>
      <c r="C388" t="s">
        <v>36</v>
      </c>
      <c r="F388" t="str">
        <f t="shared" si="7"/>
        <v>缬沙坦氢氯噻嗪片</v>
      </c>
      <c r="G388" t="s">
        <v>609</v>
      </c>
      <c r="H388"/>
      <c r="I388" t="s">
        <v>32</v>
      </c>
      <c r="J388" t="s">
        <v>610</v>
      </c>
      <c r="K388" t="s">
        <v>28</v>
      </c>
      <c r="L388"/>
      <c r="N388" t="s">
        <v>20</v>
      </c>
      <c r="O388" t="s">
        <v>20</v>
      </c>
    </row>
    <row r="389" spans="2:15">
      <c r="B389">
        <v>3</v>
      </c>
      <c r="C389" t="s">
        <v>59</v>
      </c>
      <c r="F389" t="str">
        <f t="shared" si="7"/>
        <v>辛伐他汀胶囊</v>
      </c>
      <c r="G389" t="s">
        <v>611</v>
      </c>
      <c r="H389"/>
      <c r="I389" t="s">
        <v>22</v>
      </c>
      <c r="J389" t="s">
        <v>232</v>
      </c>
      <c r="K389" t="s">
        <v>28</v>
      </c>
      <c r="L389"/>
      <c r="N389" t="s">
        <v>20</v>
      </c>
      <c r="O389" t="s">
        <v>20</v>
      </c>
    </row>
    <row r="390" spans="2:15">
      <c r="B390">
        <v>3</v>
      </c>
      <c r="C390" t="s">
        <v>59</v>
      </c>
      <c r="F390" t="str">
        <f t="shared" si="7"/>
        <v>辛伐他汀片</v>
      </c>
      <c r="G390" t="s">
        <v>612</v>
      </c>
      <c r="H390"/>
      <c r="I390" t="s">
        <v>32</v>
      </c>
      <c r="J390" t="s">
        <v>61</v>
      </c>
      <c r="K390" t="s">
        <v>28</v>
      </c>
      <c r="N390" t="s">
        <v>20</v>
      </c>
      <c r="O390" t="s">
        <v>20</v>
      </c>
    </row>
    <row r="391" spans="2:15">
      <c r="B391">
        <v>3</v>
      </c>
      <c r="C391" t="s">
        <v>59</v>
      </c>
      <c r="F391" t="str">
        <f t="shared" si="7"/>
        <v>辛伐他汀片</v>
      </c>
      <c r="G391" t="s">
        <v>612</v>
      </c>
      <c r="H391"/>
      <c r="I391" t="s">
        <v>32</v>
      </c>
      <c r="J391" t="s">
        <v>51</v>
      </c>
      <c r="K391" t="s">
        <v>28</v>
      </c>
      <c r="N391" t="s">
        <v>20</v>
      </c>
      <c r="O391" t="s">
        <v>20</v>
      </c>
    </row>
    <row r="392" spans="2:15">
      <c r="B392">
        <v>3</v>
      </c>
      <c r="C392" t="s">
        <v>59</v>
      </c>
      <c r="F392" t="str">
        <f t="shared" si="7"/>
        <v>辛伐他汀片</v>
      </c>
      <c r="G392" t="s">
        <v>612</v>
      </c>
      <c r="H392"/>
      <c r="I392" t="s">
        <v>32</v>
      </c>
      <c r="J392" t="s">
        <v>52</v>
      </c>
      <c r="K392" t="s">
        <v>28</v>
      </c>
      <c r="L392"/>
      <c r="N392" t="s">
        <v>20</v>
      </c>
      <c r="O392" t="s">
        <v>20</v>
      </c>
    </row>
    <row r="393" spans="2:15">
      <c r="B393">
        <v>4</v>
      </c>
      <c r="C393" t="s">
        <v>15</v>
      </c>
      <c r="F393" t="str">
        <f t="shared" si="7"/>
        <v>熊去氧胆酸片</v>
      </c>
      <c r="G393" t="s">
        <v>613</v>
      </c>
      <c r="H393"/>
      <c r="I393" t="s">
        <v>32</v>
      </c>
      <c r="J393" t="s">
        <v>54</v>
      </c>
      <c r="K393" t="s">
        <v>19</v>
      </c>
      <c r="L393"/>
      <c r="N393" t="s">
        <v>20</v>
      </c>
      <c r="O393" t="s">
        <v>20</v>
      </c>
    </row>
    <row r="394" spans="2:15">
      <c r="B394">
        <v>4</v>
      </c>
      <c r="C394" t="s">
        <v>15</v>
      </c>
      <c r="F394" t="str">
        <f t="shared" ref="F394:F432" si="8">G394</f>
        <v>血塞通软胶囊</v>
      </c>
      <c r="G394" t="s">
        <v>614</v>
      </c>
      <c r="H394"/>
      <c r="I394" t="s">
        <v>22</v>
      </c>
      <c r="J394" t="s">
        <v>299</v>
      </c>
      <c r="K394" t="s">
        <v>19</v>
      </c>
      <c r="L394"/>
      <c r="N394" t="s">
        <v>20</v>
      </c>
      <c r="O394" t="s">
        <v>20</v>
      </c>
    </row>
    <row r="395" spans="2:15">
      <c r="B395">
        <v>3</v>
      </c>
      <c r="C395" t="s">
        <v>59</v>
      </c>
      <c r="F395" t="str">
        <f t="shared" si="8"/>
        <v>血脂康胶囊</v>
      </c>
      <c r="G395" t="s">
        <v>615</v>
      </c>
      <c r="H395"/>
      <c r="I395" t="s">
        <v>22</v>
      </c>
      <c r="J395" t="s">
        <v>234</v>
      </c>
      <c r="K395" t="s">
        <v>19</v>
      </c>
      <c r="L395"/>
      <c r="N395" t="s">
        <v>20</v>
      </c>
      <c r="O395" t="s">
        <v>20</v>
      </c>
    </row>
    <row r="396" spans="2:15">
      <c r="B396">
        <v>3</v>
      </c>
      <c r="C396" t="s">
        <v>59</v>
      </c>
      <c r="F396" t="str">
        <f t="shared" si="8"/>
        <v>烟酸缓释片</v>
      </c>
      <c r="G396" t="s">
        <v>616</v>
      </c>
      <c r="H396"/>
      <c r="I396" t="s">
        <v>32</v>
      </c>
      <c r="J396" t="s">
        <v>54</v>
      </c>
      <c r="K396" t="s">
        <v>19</v>
      </c>
      <c r="L396"/>
      <c r="N396" t="s">
        <v>20</v>
      </c>
      <c r="O396" t="s">
        <v>20</v>
      </c>
    </row>
    <row r="397" spans="2:15">
      <c r="B397">
        <v>3</v>
      </c>
      <c r="C397" t="s">
        <v>59</v>
      </c>
      <c r="F397" t="str">
        <f t="shared" si="8"/>
        <v>烟酸片</v>
      </c>
      <c r="G397" t="s">
        <v>617</v>
      </c>
      <c r="H397"/>
      <c r="I397" t="s">
        <v>32</v>
      </c>
      <c r="J397" t="s">
        <v>35</v>
      </c>
      <c r="K397" t="s">
        <v>28</v>
      </c>
      <c r="N397" t="s">
        <v>20</v>
      </c>
      <c r="O397" t="s">
        <v>20</v>
      </c>
    </row>
    <row r="398" spans="2:15">
      <c r="B398">
        <v>2</v>
      </c>
      <c r="C398" t="s">
        <v>36</v>
      </c>
      <c r="F398" t="str">
        <f t="shared" si="8"/>
        <v>盐酸阿罗洛尔片</v>
      </c>
      <c r="G398" t="s">
        <v>618</v>
      </c>
      <c r="H398"/>
      <c r="I398" t="s">
        <v>32</v>
      </c>
      <c r="J398" t="s">
        <v>61</v>
      </c>
      <c r="K398" t="s">
        <v>28</v>
      </c>
      <c r="L398"/>
      <c r="N398" t="s">
        <v>20</v>
      </c>
      <c r="O398" t="s">
        <v>20</v>
      </c>
    </row>
    <row r="399" spans="2:15">
      <c r="B399">
        <v>4</v>
      </c>
      <c r="C399" t="s">
        <v>15</v>
      </c>
      <c r="F399" t="str">
        <f t="shared" si="8"/>
        <v>甲状腺片</v>
      </c>
      <c r="G399" t="s">
        <v>619</v>
      </c>
      <c r="H399"/>
      <c r="I399" t="s">
        <v>32</v>
      </c>
      <c r="J399" t="s">
        <v>52</v>
      </c>
      <c r="K399" t="s">
        <v>28</v>
      </c>
      <c r="L399"/>
      <c r="N399" t="s">
        <v>20</v>
      </c>
      <c r="O399" t="s">
        <v>20</v>
      </c>
    </row>
    <row r="400" spans="2:15">
      <c r="B400">
        <v>4</v>
      </c>
      <c r="C400" t="s">
        <v>15</v>
      </c>
      <c r="F400" t="str">
        <f t="shared" si="8"/>
        <v>茶碱缓释片</v>
      </c>
      <c r="G400" t="s">
        <v>620</v>
      </c>
      <c r="H400"/>
      <c r="I400" t="s">
        <v>32</v>
      </c>
      <c r="J400" t="s">
        <v>65</v>
      </c>
      <c r="K400" t="s">
        <v>19</v>
      </c>
      <c r="L400"/>
      <c r="N400" t="s">
        <v>20</v>
      </c>
      <c r="O400" t="s">
        <v>20</v>
      </c>
    </row>
    <row r="401" spans="2:15">
      <c r="B401">
        <v>4</v>
      </c>
      <c r="C401" t="s">
        <v>15</v>
      </c>
      <c r="F401" t="str">
        <f t="shared" si="8"/>
        <v>开塞露（含甘油）</v>
      </c>
      <c r="G401" t="s">
        <v>621</v>
      </c>
      <c r="H401"/>
      <c r="I401" t="s">
        <v>137</v>
      </c>
      <c r="J401" t="s">
        <v>622</v>
      </c>
      <c r="K401" t="s">
        <v>417</v>
      </c>
      <c r="L401"/>
      <c r="N401" t="s">
        <v>20</v>
      </c>
      <c r="O401" t="s">
        <v>20</v>
      </c>
    </row>
    <row r="402" spans="2:15">
      <c r="B402">
        <v>4</v>
      </c>
      <c r="C402" t="s">
        <v>15</v>
      </c>
      <c r="F402" t="str">
        <f t="shared" si="8"/>
        <v>盐酸胺碘酮注射液</v>
      </c>
      <c r="G402" t="s">
        <v>623</v>
      </c>
      <c r="H402"/>
      <c r="I402" t="s">
        <v>137</v>
      </c>
      <c r="J402" t="s">
        <v>624</v>
      </c>
      <c r="K402" t="s">
        <v>19</v>
      </c>
      <c r="L402"/>
      <c r="N402" t="s">
        <v>20</v>
      </c>
      <c r="O402" t="s">
        <v>20</v>
      </c>
    </row>
    <row r="403" spans="2:15">
      <c r="B403">
        <v>2</v>
      </c>
      <c r="C403" t="s">
        <v>36</v>
      </c>
      <c r="F403" t="str">
        <f t="shared" si="8"/>
        <v>盐酸贝那普利片</v>
      </c>
      <c r="G403" t="s">
        <v>625</v>
      </c>
      <c r="H403"/>
      <c r="I403" t="s">
        <v>32</v>
      </c>
      <c r="J403" t="s">
        <v>61</v>
      </c>
      <c r="K403" t="s">
        <v>28</v>
      </c>
      <c r="L403"/>
      <c r="N403" t="s">
        <v>20</v>
      </c>
      <c r="O403" t="s">
        <v>20</v>
      </c>
    </row>
    <row r="404" spans="2:15">
      <c r="B404">
        <v>2</v>
      </c>
      <c r="C404" t="s">
        <v>36</v>
      </c>
      <c r="F404" t="str">
        <f t="shared" si="8"/>
        <v>盐酸贝尼地平片</v>
      </c>
      <c r="G404" t="s">
        <v>626</v>
      </c>
      <c r="H404"/>
      <c r="I404" t="s">
        <v>32</v>
      </c>
      <c r="J404" t="s">
        <v>358</v>
      </c>
      <c r="K404" t="s">
        <v>28</v>
      </c>
      <c r="L404"/>
      <c r="N404" t="s">
        <v>20</v>
      </c>
      <c r="O404" t="s">
        <v>20</v>
      </c>
    </row>
    <row r="405" spans="2:15">
      <c r="B405">
        <v>2</v>
      </c>
      <c r="C405" t="s">
        <v>36</v>
      </c>
      <c r="F405" t="str">
        <f t="shared" si="8"/>
        <v>盐酸贝尼地平片</v>
      </c>
      <c r="G405" t="s">
        <v>626</v>
      </c>
      <c r="H405"/>
      <c r="I405" t="s">
        <v>32</v>
      </c>
      <c r="J405" t="s">
        <v>327</v>
      </c>
      <c r="K405" t="s">
        <v>28</v>
      </c>
      <c r="L405"/>
      <c r="N405" t="s">
        <v>20</v>
      </c>
      <c r="O405" t="s">
        <v>20</v>
      </c>
    </row>
    <row r="406" spans="2:15">
      <c r="B406">
        <v>1</v>
      </c>
      <c r="C406" t="s">
        <v>25</v>
      </c>
      <c r="F406" t="str">
        <f t="shared" si="8"/>
        <v>盐酸吡格列酮分散片</v>
      </c>
      <c r="G406" t="s">
        <v>627</v>
      </c>
      <c r="H406"/>
      <c r="I406" t="s">
        <v>32</v>
      </c>
      <c r="J406" t="s">
        <v>575</v>
      </c>
      <c r="K406" t="s">
        <v>28</v>
      </c>
      <c r="L406"/>
      <c r="N406" t="s">
        <v>393</v>
      </c>
      <c r="O406" t="s">
        <v>394</v>
      </c>
    </row>
    <row r="407" spans="2:15">
      <c r="B407">
        <v>1</v>
      </c>
      <c r="C407" t="s">
        <v>25</v>
      </c>
      <c r="F407" t="str">
        <f t="shared" si="8"/>
        <v>盐酸吡格列酮分散片</v>
      </c>
      <c r="G407" t="s">
        <v>627</v>
      </c>
      <c r="H407"/>
      <c r="I407" t="s">
        <v>32</v>
      </c>
      <c r="J407" t="s">
        <v>265</v>
      </c>
      <c r="K407" t="s">
        <v>28</v>
      </c>
      <c r="L407"/>
      <c r="N407" t="s">
        <v>393</v>
      </c>
      <c r="O407" t="s">
        <v>394</v>
      </c>
    </row>
    <row r="408" spans="2:15">
      <c r="B408">
        <v>1</v>
      </c>
      <c r="C408" t="s">
        <v>25</v>
      </c>
      <c r="F408" t="str">
        <f t="shared" si="8"/>
        <v>盐酸吡格列酮胶囊</v>
      </c>
      <c r="G408" t="s">
        <v>628</v>
      </c>
      <c r="H408"/>
      <c r="I408" t="s">
        <v>22</v>
      </c>
      <c r="J408" t="s">
        <v>586</v>
      </c>
      <c r="K408" t="s">
        <v>28</v>
      </c>
      <c r="L408"/>
      <c r="N408" t="s">
        <v>393</v>
      </c>
      <c r="O408" t="s">
        <v>394</v>
      </c>
    </row>
    <row r="409" spans="2:15">
      <c r="B409">
        <v>1</v>
      </c>
      <c r="C409" t="s">
        <v>25</v>
      </c>
      <c r="F409" t="str">
        <f t="shared" si="8"/>
        <v>盐酸吡格列酮胶囊</v>
      </c>
      <c r="G409" t="s">
        <v>628</v>
      </c>
      <c r="H409"/>
      <c r="I409" t="s">
        <v>22</v>
      </c>
      <c r="J409" t="s">
        <v>629</v>
      </c>
      <c r="K409" t="s">
        <v>28</v>
      </c>
      <c r="L409"/>
      <c r="N409" t="s">
        <v>393</v>
      </c>
      <c r="O409" t="s">
        <v>394</v>
      </c>
    </row>
    <row r="410" spans="2:15">
      <c r="B410">
        <v>1</v>
      </c>
      <c r="C410" t="s">
        <v>25</v>
      </c>
      <c r="F410" t="str">
        <f t="shared" si="8"/>
        <v>盐酸吡格列酮片</v>
      </c>
      <c r="G410" t="s">
        <v>630</v>
      </c>
      <c r="H410"/>
      <c r="I410" t="s">
        <v>32</v>
      </c>
      <c r="J410" t="s">
        <v>265</v>
      </c>
      <c r="K410" t="s">
        <v>28</v>
      </c>
      <c r="L410"/>
      <c r="N410" t="s">
        <v>393</v>
      </c>
      <c r="O410" t="s">
        <v>394</v>
      </c>
    </row>
    <row r="411" spans="2:15">
      <c r="B411">
        <v>1</v>
      </c>
      <c r="C411" t="s">
        <v>25</v>
      </c>
      <c r="F411" t="str">
        <f t="shared" si="8"/>
        <v>盐酸吡格列酮片</v>
      </c>
      <c r="G411" t="s">
        <v>630</v>
      </c>
      <c r="H411"/>
      <c r="I411" t="s">
        <v>32</v>
      </c>
      <c r="J411" t="s">
        <v>575</v>
      </c>
      <c r="K411" t="s">
        <v>28</v>
      </c>
      <c r="L411"/>
      <c r="N411" t="s">
        <v>393</v>
      </c>
      <c r="O411" t="s">
        <v>394</v>
      </c>
    </row>
    <row r="412" spans="2:15">
      <c r="B412">
        <v>4</v>
      </c>
      <c r="C412" t="s">
        <v>15</v>
      </c>
      <c r="F412" t="str">
        <f t="shared" si="8"/>
        <v>盐酸克林霉素棕榈酸酯分散片</v>
      </c>
      <c r="G412" t="s">
        <v>631</v>
      </c>
      <c r="H412"/>
      <c r="I412" t="s">
        <v>32</v>
      </c>
      <c r="J412" t="s">
        <v>187</v>
      </c>
      <c r="K412" t="s">
        <v>28</v>
      </c>
      <c r="L412"/>
      <c r="N412" t="s">
        <v>20</v>
      </c>
      <c r="O412" t="s">
        <v>20</v>
      </c>
    </row>
    <row r="413" spans="2:15">
      <c r="B413">
        <v>4</v>
      </c>
      <c r="C413" t="s">
        <v>15</v>
      </c>
      <c r="F413" t="str">
        <f t="shared" si="8"/>
        <v>盐酸美西律片</v>
      </c>
      <c r="G413" t="s">
        <v>632</v>
      </c>
      <c r="H413"/>
      <c r="I413" t="s">
        <v>32</v>
      </c>
      <c r="J413" t="s">
        <v>33</v>
      </c>
      <c r="K413" t="s">
        <v>28</v>
      </c>
      <c r="L413"/>
      <c r="N413" t="s">
        <v>20</v>
      </c>
      <c r="O413" t="s">
        <v>20</v>
      </c>
    </row>
    <row r="414" spans="2:15">
      <c r="B414">
        <v>1</v>
      </c>
      <c r="C414" t="s">
        <v>25</v>
      </c>
      <c r="F414" t="str">
        <f t="shared" si="8"/>
        <v>盐酸二甲双胍肠溶胶囊</v>
      </c>
      <c r="G414" t="s">
        <v>633</v>
      </c>
      <c r="H414"/>
      <c r="I414" t="s">
        <v>22</v>
      </c>
      <c r="J414" t="s">
        <v>247</v>
      </c>
      <c r="K414" t="s">
        <v>19</v>
      </c>
      <c r="L414"/>
      <c r="N414" t="s">
        <v>634</v>
      </c>
      <c r="O414" t="s">
        <v>635</v>
      </c>
    </row>
    <row r="415" spans="2:15">
      <c r="B415">
        <v>1</v>
      </c>
      <c r="C415" t="s">
        <v>25</v>
      </c>
      <c r="F415" t="str">
        <f t="shared" si="8"/>
        <v>盐酸二甲双胍肠溶片</v>
      </c>
      <c r="G415" t="s">
        <v>636</v>
      </c>
      <c r="H415"/>
      <c r="I415" t="s">
        <v>32</v>
      </c>
      <c r="J415" t="s">
        <v>54</v>
      </c>
      <c r="K415" t="s">
        <v>19</v>
      </c>
      <c r="L415"/>
      <c r="N415" t="s">
        <v>634</v>
      </c>
      <c r="O415" t="s">
        <v>635</v>
      </c>
    </row>
    <row r="416" spans="2:15">
      <c r="B416">
        <v>1</v>
      </c>
      <c r="C416" t="s">
        <v>25</v>
      </c>
      <c r="F416" t="str">
        <f t="shared" si="8"/>
        <v>盐酸二甲双胍肠溶片</v>
      </c>
      <c r="G416" t="s">
        <v>636</v>
      </c>
      <c r="H416"/>
      <c r="I416" t="s">
        <v>32</v>
      </c>
      <c r="J416" t="s">
        <v>406</v>
      </c>
      <c r="K416" t="s">
        <v>28</v>
      </c>
      <c r="L416"/>
      <c r="N416" t="s">
        <v>634</v>
      </c>
      <c r="O416" t="s">
        <v>635</v>
      </c>
    </row>
    <row r="417" spans="2:15">
      <c r="B417">
        <v>1</v>
      </c>
      <c r="C417" t="s">
        <v>25</v>
      </c>
      <c r="F417" t="str">
        <f t="shared" si="8"/>
        <v>盐酸二甲双胍肠溶片</v>
      </c>
      <c r="G417" t="s">
        <v>636</v>
      </c>
      <c r="H417"/>
      <c r="I417" t="s">
        <v>32</v>
      </c>
      <c r="J417" t="s">
        <v>637</v>
      </c>
      <c r="K417" t="s">
        <v>19</v>
      </c>
      <c r="L417"/>
      <c r="N417" t="s">
        <v>634</v>
      </c>
      <c r="O417" t="s">
        <v>635</v>
      </c>
    </row>
    <row r="418" spans="2:15">
      <c r="B418">
        <v>1</v>
      </c>
      <c r="C418" t="s">
        <v>25</v>
      </c>
      <c r="F418" t="str">
        <f t="shared" si="8"/>
        <v>盐酸二甲双胍缓释胶囊</v>
      </c>
      <c r="G418" t="s">
        <v>638</v>
      </c>
      <c r="H418"/>
      <c r="I418" t="s">
        <v>32</v>
      </c>
      <c r="J418" t="s">
        <v>54</v>
      </c>
      <c r="K418" t="s">
        <v>19</v>
      </c>
      <c r="L418"/>
      <c r="N418" t="s">
        <v>634</v>
      </c>
      <c r="O418" t="s">
        <v>635</v>
      </c>
    </row>
    <row r="419" spans="2:15">
      <c r="B419">
        <v>1</v>
      </c>
      <c r="C419" t="s">
        <v>25</v>
      </c>
      <c r="F419" t="str">
        <f t="shared" si="8"/>
        <v>盐酸二甲双胍缓释片</v>
      </c>
      <c r="G419" t="s">
        <v>639</v>
      </c>
      <c r="H419"/>
      <c r="I419" t="s">
        <v>32</v>
      </c>
      <c r="J419" t="s">
        <v>279</v>
      </c>
      <c r="K419" t="s">
        <v>19</v>
      </c>
      <c r="L419"/>
      <c r="N419" t="s">
        <v>634</v>
      </c>
      <c r="O419" t="s">
        <v>635</v>
      </c>
    </row>
    <row r="420" spans="2:15">
      <c r="B420">
        <v>1</v>
      </c>
      <c r="C420" t="s">
        <v>25</v>
      </c>
      <c r="F420" t="str">
        <f t="shared" si="8"/>
        <v>盐酸二甲双胍缓释片</v>
      </c>
      <c r="G420" t="s">
        <v>639</v>
      </c>
      <c r="H420"/>
      <c r="I420" t="s">
        <v>32</v>
      </c>
      <c r="J420" t="s">
        <v>54</v>
      </c>
      <c r="K420" t="s">
        <v>19</v>
      </c>
      <c r="L420"/>
      <c r="N420" t="s">
        <v>634</v>
      </c>
      <c r="O420" t="s">
        <v>635</v>
      </c>
    </row>
    <row r="421" spans="2:15">
      <c r="B421">
        <v>1</v>
      </c>
      <c r="C421" t="s">
        <v>25</v>
      </c>
      <c r="F421" t="str">
        <f t="shared" si="8"/>
        <v>盐酸二甲双胍片</v>
      </c>
      <c r="G421" t="s">
        <v>640</v>
      </c>
      <c r="H421"/>
      <c r="I421" t="s">
        <v>32</v>
      </c>
      <c r="J421" t="s">
        <v>637</v>
      </c>
      <c r="K421" t="s">
        <v>19</v>
      </c>
      <c r="L421"/>
      <c r="N421" t="s">
        <v>634</v>
      </c>
      <c r="O421" t="s">
        <v>635</v>
      </c>
    </row>
    <row r="422" spans="2:15">
      <c r="B422">
        <v>4</v>
      </c>
      <c r="C422" t="s">
        <v>15</v>
      </c>
      <c r="F422" t="str">
        <f t="shared" si="8"/>
        <v>盐酸氟桂利嗪胶囊</v>
      </c>
      <c r="G422" t="s">
        <v>641</v>
      </c>
      <c r="H422"/>
      <c r="I422" t="s">
        <v>22</v>
      </c>
      <c r="J422" t="s">
        <v>208</v>
      </c>
      <c r="K422" t="s">
        <v>28</v>
      </c>
      <c r="L422"/>
      <c r="N422" t="s">
        <v>20</v>
      </c>
      <c r="O422" t="s">
        <v>20</v>
      </c>
    </row>
    <row r="423" spans="2:15">
      <c r="B423">
        <v>4</v>
      </c>
      <c r="C423" t="s">
        <v>15</v>
      </c>
      <c r="F423" t="str">
        <f t="shared" si="8"/>
        <v>盐酸金刚烷胺片</v>
      </c>
      <c r="G423" t="s">
        <v>642</v>
      </c>
      <c r="H423"/>
      <c r="I423" t="s">
        <v>32</v>
      </c>
      <c r="J423" t="s">
        <v>35</v>
      </c>
      <c r="K423" t="s">
        <v>28</v>
      </c>
      <c r="L423"/>
      <c r="N423" t="s">
        <v>20</v>
      </c>
      <c r="O423" t="s">
        <v>20</v>
      </c>
    </row>
    <row r="424" spans="2:15">
      <c r="B424">
        <v>2</v>
      </c>
      <c r="C424" t="s">
        <v>36</v>
      </c>
      <c r="F424" t="str">
        <f t="shared" si="8"/>
        <v>盐酸乐卡地平片</v>
      </c>
      <c r="G424" t="s">
        <v>643</v>
      </c>
      <c r="H424"/>
      <c r="I424" t="s">
        <v>32</v>
      </c>
      <c r="J424" t="s">
        <v>61</v>
      </c>
      <c r="K424" t="s">
        <v>28</v>
      </c>
      <c r="L424"/>
      <c r="N424" t="s">
        <v>20</v>
      </c>
      <c r="O424" t="s">
        <v>20</v>
      </c>
    </row>
    <row r="425" spans="2:15">
      <c r="B425">
        <v>4</v>
      </c>
      <c r="C425" t="s">
        <v>15</v>
      </c>
      <c r="F425" t="str">
        <f t="shared" si="8"/>
        <v>盐酸雷尼替丁胶囊</v>
      </c>
      <c r="G425" t="s">
        <v>644</v>
      </c>
      <c r="H425"/>
      <c r="I425" t="s">
        <v>22</v>
      </c>
      <c r="J425" t="s">
        <v>179</v>
      </c>
      <c r="K425" t="s">
        <v>19</v>
      </c>
      <c r="L425"/>
      <c r="N425" t="s">
        <v>20</v>
      </c>
      <c r="O425" t="s">
        <v>20</v>
      </c>
    </row>
    <row r="426" spans="2:15">
      <c r="B426">
        <v>1</v>
      </c>
      <c r="C426" t="s">
        <v>25</v>
      </c>
      <c r="F426" t="str">
        <f t="shared" si="8"/>
        <v>盐酸罗格列酮胶囊</v>
      </c>
      <c r="G426" t="s">
        <v>645</v>
      </c>
      <c r="H426"/>
      <c r="I426" t="s">
        <v>22</v>
      </c>
      <c r="J426" t="s">
        <v>646</v>
      </c>
      <c r="K426" t="s">
        <v>28</v>
      </c>
      <c r="L426"/>
      <c r="N426" t="s">
        <v>393</v>
      </c>
      <c r="O426" t="s">
        <v>394</v>
      </c>
    </row>
    <row r="427" spans="2:15">
      <c r="B427">
        <v>1</v>
      </c>
      <c r="C427" t="s">
        <v>25</v>
      </c>
      <c r="F427" t="str">
        <f t="shared" si="8"/>
        <v>盐酸罗格列酮片</v>
      </c>
      <c r="G427" t="s">
        <v>647</v>
      </c>
      <c r="H427"/>
      <c r="I427" t="s">
        <v>32</v>
      </c>
      <c r="J427" t="s">
        <v>327</v>
      </c>
      <c r="K427" t="s">
        <v>28</v>
      </c>
      <c r="L427"/>
      <c r="N427" t="s">
        <v>393</v>
      </c>
      <c r="O427" t="s">
        <v>394</v>
      </c>
    </row>
    <row r="428" spans="2:15">
      <c r="B428">
        <v>4</v>
      </c>
      <c r="C428" t="s">
        <v>15</v>
      </c>
      <c r="F428" t="str">
        <f t="shared" si="8"/>
        <v>喉疾灵胶囊</v>
      </c>
      <c r="G428" t="s">
        <v>648</v>
      </c>
      <c r="H428"/>
      <c r="I428" t="s">
        <v>22</v>
      </c>
      <c r="J428" t="s">
        <v>122</v>
      </c>
      <c r="K428" t="s">
        <v>19</v>
      </c>
      <c r="L428"/>
      <c r="N428" t="s">
        <v>20</v>
      </c>
      <c r="O428" t="s">
        <v>20</v>
      </c>
    </row>
    <row r="429" spans="2:15">
      <c r="B429">
        <v>2</v>
      </c>
      <c r="C429" t="s">
        <v>36</v>
      </c>
      <c r="F429" t="str">
        <f t="shared" si="8"/>
        <v>盐酸咪达普利片</v>
      </c>
      <c r="G429" t="s">
        <v>649</v>
      </c>
      <c r="H429"/>
      <c r="I429" t="s">
        <v>32</v>
      </c>
      <c r="J429" t="s">
        <v>61</v>
      </c>
      <c r="K429" t="s">
        <v>28</v>
      </c>
      <c r="L429"/>
      <c r="N429" t="s">
        <v>20</v>
      </c>
      <c r="O429" t="s">
        <v>20</v>
      </c>
    </row>
    <row r="430" spans="2:15">
      <c r="B430">
        <v>4</v>
      </c>
      <c r="C430" t="s">
        <v>15</v>
      </c>
      <c r="F430" t="str">
        <f t="shared" si="8"/>
        <v>益肾化湿颗粒</v>
      </c>
      <c r="G430" t="s">
        <v>650</v>
      </c>
      <c r="H430"/>
      <c r="I430" t="s">
        <v>17</v>
      </c>
      <c r="J430" t="s">
        <v>651</v>
      </c>
      <c r="K430" t="s">
        <v>19</v>
      </c>
      <c r="L430"/>
      <c r="N430" t="s">
        <v>20</v>
      </c>
      <c r="O430" t="s">
        <v>20</v>
      </c>
    </row>
    <row r="431" spans="2:15">
      <c r="B431">
        <v>4</v>
      </c>
      <c r="C431" t="s">
        <v>15</v>
      </c>
      <c r="F431" t="str">
        <f t="shared" si="8"/>
        <v>盐酸莫西沙星片</v>
      </c>
      <c r="G431" t="s">
        <v>652</v>
      </c>
      <c r="H431"/>
      <c r="I431" t="s">
        <v>32</v>
      </c>
      <c r="J431" t="s">
        <v>128</v>
      </c>
      <c r="K431" t="s">
        <v>19</v>
      </c>
      <c r="L431"/>
      <c r="N431" t="s">
        <v>20</v>
      </c>
      <c r="O431" t="s">
        <v>20</v>
      </c>
    </row>
    <row r="432" spans="2:15">
      <c r="B432">
        <v>2</v>
      </c>
      <c r="C432" t="s">
        <v>36</v>
      </c>
      <c r="F432" t="str">
        <f t="shared" ref="F432:F485" si="9">G432</f>
        <v>盐酸哌唑嗪片</v>
      </c>
      <c r="G432" t="s">
        <v>653</v>
      </c>
      <c r="H432"/>
      <c r="I432" t="s">
        <v>32</v>
      </c>
      <c r="J432" t="s">
        <v>74</v>
      </c>
      <c r="K432" t="s">
        <v>28</v>
      </c>
      <c r="L432"/>
      <c r="N432" t="s">
        <v>20</v>
      </c>
      <c r="O432" t="s">
        <v>20</v>
      </c>
    </row>
    <row r="433" spans="2:15">
      <c r="B433">
        <v>4</v>
      </c>
      <c r="C433" t="s">
        <v>15</v>
      </c>
      <c r="F433" t="str">
        <f t="shared" si="9"/>
        <v>盐酸普拉克索片</v>
      </c>
      <c r="G433" t="s">
        <v>654</v>
      </c>
      <c r="H433"/>
      <c r="I433" t="s">
        <v>32</v>
      </c>
      <c r="J433" t="s">
        <v>164</v>
      </c>
      <c r="K433" t="s">
        <v>28</v>
      </c>
      <c r="L433"/>
      <c r="N433" t="s">
        <v>20</v>
      </c>
      <c r="O433" t="s">
        <v>20</v>
      </c>
    </row>
    <row r="434" spans="2:15">
      <c r="B434">
        <v>4</v>
      </c>
      <c r="C434" t="s">
        <v>15</v>
      </c>
      <c r="F434" t="str">
        <f t="shared" si="9"/>
        <v>盐酸普罗帕酮片</v>
      </c>
      <c r="G434" t="s">
        <v>655</v>
      </c>
      <c r="H434"/>
      <c r="I434" t="s">
        <v>32</v>
      </c>
      <c r="J434" t="s">
        <v>33</v>
      </c>
      <c r="K434" t="s">
        <v>28</v>
      </c>
      <c r="L434"/>
      <c r="N434" t="s">
        <v>20</v>
      </c>
      <c r="O434" t="s">
        <v>20</v>
      </c>
    </row>
    <row r="435" spans="2:15">
      <c r="B435">
        <v>2</v>
      </c>
      <c r="C435" t="s">
        <v>36</v>
      </c>
      <c r="F435" t="str">
        <f t="shared" si="9"/>
        <v>盐酸普萘洛尔片</v>
      </c>
      <c r="G435" t="s">
        <v>656</v>
      </c>
      <c r="H435"/>
      <c r="I435" t="s">
        <v>32</v>
      </c>
      <c r="J435" t="s">
        <v>61</v>
      </c>
      <c r="K435" t="s">
        <v>28</v>
      </c>
      <c r="L435"/>
      <c r="N435" t="s">
        <v>20</v>
      </c>
      <c r="O435" t="s">
        <v>20</v>
      </c>
    </row>
    <row r="436" spans="2:15">
      <c r="B436">
        <v>4</v>
      </c>
      <c r="C436" t="s">
        <v>15</v>
      </c>
      <c r="F436" t="str">
        <f t="shared" si="9"/>
        <v>盐酸曲美他嗪缓释片</v>
      </c>
      <c r="G436" t="s">
        <v>657</v>
      </c>
      <c r="H436"/>
      <c r="I436" t="s">
        <v>32</v>
      </c>
      <c r="J436" t="s">
        <v>211</v>
      </c>
      <c r="K436" t="s">
        <v>28</v>
      </c>
      <c r="L436"/>
      <c r="N436" t="s">
        <v>20</v>
      </c>
      <c r="O436" t="s">
        <v>20</v>
      </c>
    </row>
    <row r="437" spans="2:15">
      <c r="B437">
        <v>4</v>
      </c>
      <c r="C437" t="s">
        <v>15</v>
      </c>
      <c r="F437" t="str">
        <f t="shared" si="9"/>
        <v>盐酸曲唑酮片</v>
      </c>
      <c r="G437" t="s">
        <v>658</v>
      </c>
      <c r="H437"/>
      <c r="I437" t="s">
        <v>32</v>
      </c>
      <c r="J437" t="s">
        <v>33</v>
      </c>
      <c r="K437" t="s">
        <v>28</v>
      </c>
      <c r="L437"/>
      <c r="N437" t="s">
        <v>20</v>
      </c>
      <c r="O437" t="s">
        <v>20</v>
      </c>
    </row>
    <row r="438" spans="2:15">
      <c r="B438">
        <v>4</v>
      </c>
      <c r="C438" t="s">
        <v>15</v>
      </c>
      <c r="F438" t="str">
        <f t="shared" si="9"/>
        <v>对乙酰氨基酚缓释片</v>
      </c>
      <c r="G438" t="s">
        <v>659</v>
      </c>
      <c r="H438"/>
      <c r="I438" t="s">
        <v>32</v>
      </c>
      <c r="J438" t="s">
        <v>660</v>
      </c>
      <c r="K438" t="s">
        <v>19</v>
      </c>
      <c r="L438"/>
      <c r="N438" t="s">
        <v>20</v>
      </c>
      <c r="O438" t="s">
        <v>20</v>
      </c>
    </row>
    <row r="439" spans="2:15">
      <c r="B439">
        <v>4</v>
      </c>
      <c r="C439" t="s">
        <v>15</v>
      </c>
      <c r="F439" t="str">
        <f t="shared" si="9"/>
        <v>盐酸坦索罗辛缓释胶囊</v>
      </c>
      <c r="G439" t="s">
        <v>661</v>
      </c>
      <c r="H439"/>
      <c r="I439" t="s">
        <v>22</v>
      </c>
      <c r="J439" t="s">
        <v>225</v>
      </c>
      <c r="K439" t="s">
        <v>28</v>
      </c>
      <c r="L439"/>
      <c r="N439" t="s">
        <v>20</v>
      </c>
      <c r="O439" t="s">
        <v>20</v>
      </c>
    </row>
    <row r="440" spans="2:15">
      <c r="B440">
        <v>4</v>
      </c>
      <c r="C440" t="s">
        <v>15</v>
      </c>
      <c r="F440" t="str">
        <f t="shared" si="9"/>
        <v>盐酸特拉唑嗪胶囊</v>
      </c>
      <c r="G440" t="s">
        <v>662</v>
      </c>
      <c r="H440"/>
      <c r="I440" t="s">
        <v>32</v>
      </c>
      <c r="J440" t="s">
        <v>270</v>
      </c>
      <c r="K440" t="s">
        <v>28</v>
      </c>
      <c r="L440"/>
      <c r="N440" t="s">
        <v>20</v>
      </c>
      <c r="O440" t="s">
        <v>20</v>
      </c>
    </row>
    <row r="441" spans="2:15">
      <c r="B441">
        <v>2</v>
      </c>
      <c r="C441" t="s">
        <v>36</v>
      </c>
      <c r="F441" t="str">
        <f t="shared" si="9"/>
        <v>盐酸维拉帕米缓释片</v>
      </c>
      <c r="G441" t="s">
        <v>663</v>
      </c>
      <c r="H441"/>
      <c r="I441" t="s">
        <v>32</v>
      </c>
      <c r="J441" t="s">
        <v>563</v>
      </c>
      <c r="K441" t="s">
        <v>19</v>
      </c>
      <c r="L441"/>
      <c r="N441" t="s">
        <v>20</v>
      </c>
      <c r="O441" t="s">
        <v>20</v>
      </c>
    </row>
    <row r="442" spans="2:15">
      <c r="B442">
        <v>4</v>
      </c>
      <c r="C442" t="s">
        <v>15</v>
      </c>
      <c r="F442" t="str">
        <f t="shared" si="9"/>
        <v>盐酸西那卡塞片</v>
      </c>
      <c r="G442" t="s">
        <v>664</v>
      </c>
      <c r="H442"/>
      <c r="I442" t="s">
        <v>32</v>
      </c>
      <c r="J442" t="s">
        <v>108</v>
      </c>
      <c r="K442" t="s">
        <v>28</v>
      </c>
      <c r="L442"/>
      <c r="N442" t="s">
        <v>20</v>
      </c>
      <c r="O442" t="s">
        <v>20</v>
      </c>
    </row>
    <row r="443" spans="2:15">
      <c r="B443">
        <v>4</v>
      </c>
      <c r="C443" t="s">
        <v>15</v>
      </c>
      <c r="F443" t="str">
        <f t="shared" si="9"/>
        <v>盐酸伊伐布雷定片</v>
      </c>
      <c r="G443" t="s">
        <v>665</v>
      </c>
      <c r="H443"/>
      <c r="I443" t="s">
        <v>32</v>
      </c>
      <c r="J443" t="s">
        <v>76</v>
      </c>
      <c r="K443" t="s">
        <v>28</v>
      </c>
      <c r="L443"/>
      <c r="N443" t="s">
        <v>20</v>
      </c>
      <c r="O443" t="s">
        <v>20</v>
      </c>
    </row>
    <row r="444" spans="2:15">
      <c r="B444">
        <v>4</v>
      </c>
      <c r="C444" t="s">
        <v>15</v>
      </c>
      <c r="F444" t="str">
        <f t="shared" si="9"/>
        <v>噻托溴铵粉雾剂</v>
      </c>
      <c r="G444" t="s">
        <v>666</v>
      </c>
      <c r="H444"/>
      <c r="I444" t="s">
        <v>22</v>
      </c>
      <c r="J444" t="s">
        <v>667</v>
      </c>
      <c r="K444" t="s">
        <v>24</v>
      </c>
      <c r="L444"/>
      <c r="N444" t="s">
        <v>20</v>
      </c>
      <c r="O444" t="s">
        <v>20</v>
      </c>
    </row>
    <row r="445" spans="2:15">
      <c r="B445">
        <v>4</v>
      </c>
      <c r="C445" t="s">
        <v>15</v>
      </c>
      <c r="F445" t="str">
        <f t="shared" si="9"/>
        <v>盐酸乙酰左卡尼汀片</v>
      </c>
      <c r="G445" t="s">
        <v>668</v>
      </c>
      <c r="H445"/>
      <c r="I445" t="s">
        <v>32</v>
      </c>
      <c r="J445" t="s">
        <v>54</v>
      </c>
      <c r="K445" t="s">
        <v>19</v>
      </c>
      <c r="L445"/>
      <c r="N445" t="s">
        <v>20</v>
      </c>
      <c r="O445" t="s">
        <v>20</v>
      </c>
    </row>
    <row r="446" spans="2:15">
      <c r="B446">
        <v>4</v>
      </c>
      <c r="C446" t="s">
        <v>15</v>
      </c>
      <c r="F446" t="str">
        <f t="shared" si="9"/>
        <v>通滞苏润江片</v>
      </c>
      <c r="G446" t="s">
        <v>669</v>
      </c>
      <c r="H446"/>
      <c r="I446" t="s">
        <v>32</v>
      </c>
      <c r="J446" t="s">
        <v>670</v>
      </c>
      <c r="K446" t="s">
        <v>19</v>
      </c>
      <c r="L446"/>
      <c r="N446" t="s">
        <v>20</v>
      </c>
      <c r="O446" t="s">
        <v>20</v>
      </c>
    </row>
    <row r="447" spans="2:15">
      <c r="B447">
        <v>4</v>
      </c>
      <c r="C447" t="s">
        <v>15</v>
      </c>
      <c r="F447" t="str">
        <f t="shared" si="9"/>
        <v>叶酸片</v>
      </c>
      <c r="G447" t="s">
        <v>671</v>
      </c>
      <c r="H447"/>
      <c r="I447" t="s">
        <v>32</v>
      </c>
      <c r="J447" t="s">
        <v>76</v>
      </c>
      <c r="K447" t="s">
        <v>28</v>
      </c>
      <c r="L447"/>
      <c r="N447" t="s">
        <v>20</v>
      </c>
      <c r="O447" t="s">
        <v>20</v>
      </c>
    </row>
    <row r="448" spans="2:15">
      <c r="B448">
        <v>4</v>
      </c>
      <c r="C448" t="s">
        <v>15</v>
      </c>
      <c r="F448" t="str">
        <f t="shared" si="9"/>
        <v>叶酸片</v>
      </c>
      <c r="G448" t="s">
        <v>671</v>
      </c>
      <c r="H448"/>
      <c r="I448" t="s">
        <v>32</v>
      </c>
      <c r="J448" t="s">
        <v>49</v>
      </c>
      <c r="K448" t="s">
        <v>28</v>
      </c>
      <c r="L448"/>
      <c r="N448" t="s">
        <v>20</v>
      </c>
      <c r="O448" t="s">
        <v>20</v>
      </c>
    </row>
    <row r="449" spans="2:15">
      <c r="B449">
        <v>15</v>
      </c>
      <c r="C449" t="s">
        <v>149</v>
      </c>
      <c r="D449" t="s">
        <v>159</v>
      </c>
      <c r="F449" t="str">
        <f t="shared" si="9"/>
        <v>依柯胰岛素注射液</v>
      </c>
      <c r="G449" t="s">
        <v>672</v>
      </c>
      <c r="H449"/>
      <c r="I449" t="s">
        <v>139</v>
      </c>
      <c r="J449" t="s">
        <v>673</v>
      </c>
      <c r="K449" t="s">
        <v>139</v>
      </c>
      <c r="L449"/>
      <c r="N449" t="s">
        <v>674</v>
      </c>
      <c r="O449" t="s">
        <v>20</v>
      </c>
    </row>
    <row r="450" spans="2:15">
      <c r="B450">
        <v>15</v>
      </c>
      <c r="C450" t="s">
        <v>149</v>
      </c>
      <c r="D450" t="s">
        <v>159</v>
      </c>
      <c r="F450" t="str">
        <f t="shared" si="9"/>
        <v>依柯胰岛素注射液</v>
      </c>
      <c r="G450" t="s">
        <v>672</v>
      </c>
      <c r="H450"/>
      <c r="I450" t="s">
        <v>139</v>
      </c>
      <c r="J450" t="s">
        <v>675</v>
      </c>
      <c r="K450" t="s">
        <v>139</v>
      </c>
      <c r="L450"/>
      <c r="N450" t="s">
        <v>161</v>
      </c>
      <c r="O450" t="s">
        <v>674</v>
      </c>
    </row>
    <row r="451" spans="2:15">
      <c r="B451">
        <v>10</v>
      </c>
      <c r="C451" t="s">
        <v>66</v>
      </c>
      <c r="F451" t="str">
        <f t="shared" si="9"/>
        <v>依洛尤单抗注射液</v>
      </c>
      <c r="G451" t="s">
        <v>676</v>
      </c>
      <c r="H451"/>
      <c r="I451" t="s">
        <v>137</v>
      </c>
      <c r="J451" t="s">
        <v>677</v>
      </c>
      <c r="K451" t="s">
        <v>28</v>
      </c>
      <c r="L451"/>
      <c r="N451" t="s">
        <v>20</v>
      </c>
      <c r="O451" t="s">
        <v>20</v>
      </c>
    </row>
    <row r="452" spans="2:15">
      <c r="B452">
        <v>10</v>
      </c>
      <c r="C452" t="s">
        <v>66</v>
      </c>
      <c r="F452" t="str">
        <f t="shared" si="9"/>
        <v>依诺肝素钠注射液</v>
      </c>
      <c r="G452" t="s">
        <v>678</v>
      </c>
      <c r="H452"/>
      <c r="I452" t="s">
        <v>137</v>
      </c>
      <c r="J452" t="s">
        <v>679</v>
      </c>
      <c r="K452" t="s">
        <v>139</v>
      </c>
      <c r="L452"/>
      <c r="N452" t="s">
        <v>20</v>
      </c>
      <c r="O452" t="s">
        <v>20</v>
      </c>
    </row>
    <row r="453" spans="2:15">
      <c r="B453">
        <v>4</v>
      </c>
      <c r="C453" t="s">
        <v>15</v>
      </c>
      <c r="F453" t="str">
        <f t="shared" si="9"/>
        <v>依帕司他片</v>
      </c>
      <c r="G453" t="s">
        <v>680</v>
      </c>
      <c r="H453"/>
      <c r="I453" t="s">
        <v>32</v>
      </c>
      <c r="J453" t="s">
        <v>33</v>
      </c>
      <c r="K453" t="s">
        <v>28</v>
      </c>
      <c r="L453"/>
      <c r="N453" t="s">
        <v>20</v>
      </c>
      <c r="O453" t="s">
        <v>20</v>
      </c>
    </row>
    <row r="454" spans="2:15">
      <c r="B454">
        <v>4</v>
      </c>
      <c r="C454" t="s">
        <v>15</v>
      </c>
      <c r="F454" t="str">
        <f t="shared" si="9"/>
        <v>依托考昔片</v>
      </c>
      <c r="G454" t="s">
        <v>681</v>
      </c>
      <c r="H454"/>
      <c r="I454" t="s">
        <v>32</v>
      </c>
      <c r="J454" t="s">
        <v>147</v>
      </c>
      <c r="K454" t="s">
        <v>28</v>
      </c>
      <c r="L454"/>
      <c r="N454" t="s">
        <v>20</v>
      </c>
      <c r="O454" t="s">
        <v>20</v>
      </c>
    </row>
    <row r="455" spans="2:15">
      <c r="B455">
        <v>3</v>
      </c>
      <c r="C455" t="s">
        <v>59</v>
      </c>
      <c r="F455" t="str">
        <f t="shared" si="9"/>
        <v>依折麦布片</v>
      </c>
      <c r="G455" t="s">
        <v>682</v>
      </c>
      <c r="H455"/>
      <c r="I455" t="s">
        <v>32</v>
      </c>
      <c r="J455" t="s">
        <v>61</v>
      </c>
      <c r="K455" t="s">
        <v>28</v>
      </c>
      <c r="L455"/>
      <c r="N455" t="s">
        <v>20</v>
      </c>
      <c r="O455" t="s">
        <v>20</v>
      </c>
    </row>
    <row r="456" spans="2:15">
      <c r="B456">
        <v>17</v>
      </c>
      <c r="C456" t="s">
        <v>149</v>
      </c>
      <c r="D456" t="s">
        <v>288</v>
      </c>
      <c r="F456" t="str">
        <f t="shared" si="9"/>
        <v>胰岛素注射液</v>
      </c>
      <c r="G456" t="s">
        <v>683</v>
      </c>
      <c r="H456"/>
      <c r="I456" t="s">
        <v>139</v>
      </c>
      <c r="J456" t="s">
        <v>684</v>
      </c>
      <c r="K456" t="s">
        <v>139</v>
      </c>
      <c r="L456"/>
      <c r="N456" t="s">
        <v>290</v>
      </c>
      <c r="O456" t="s">
        <v>162</v>
      </c>
    </row>
    <row r="457" spans="2:15">
      <c r="B457">
        <v>2</v>
      </c>
      <c r="C457" t="s">
        <v>36</v>
      </c>
      <c r="F457" t="str">
        <f t="shared" si="9"/>
        <v>胰激肽原酶肠溶片</v>
      </c>
      <c r="G457" t="s">
        <v>685</v>
      </c>
      <c r="H457"/>
      <c r="I457" t="s">
        <v>32</v>
      </c>
      <c r="J457" t="s">
        <v>686</v>
      </c>
      <c r="K457" t="s">
        <v>139</v>
      </c>
      <c r="L457"/>
      <c r="N457" t="s">
        <v>20</v>
      </c>
      <c r="O457" t="s">
        <v>20</v>
      </c>
    </row>
    <row r="458" spans="2:15">
      <c r="B458">
        <v>4</v>
      </c>
      <c r="C458" t="s">
        <v>15</v>
      </c>
      <c r="F458" t="str">
        <f t="shared" si="9"/>
        <v>胰激肽原酶肠溶片</v>
      </c>
      <c r="G458" t="s">
        <v>685</v>
      </c>
      <c r="H458"/>
      <c r="I458" t="s">
        <v>32</v>
      </c>
      <c r="J458" t="s">
        <v>687</v>
      </c>
      <c r="K458" t="s">
        <v>139</v>
      </c>
      <c r="L458"/>
      <c r="N458" t="s">
        <v>20</v>
      </c>
      <c r="O458" t="s">
        <v>20</v>
      </c>
    </row>
    <row r="459" spans="2:15">
      <c r="B459">
        <v>4</v>
      </c>
      <c r="C459" t="s">
        <v>15</v>
      </c>
      <c r="F459" t="str">
        <f t="shared" si="9"/>
        <v>胰激肽原酶肠溶片</v>
      </c>
      <c r="G459" t="s">
        <v>685</v>
      </c>
      <c r="H459"/>
      <c r="I459" t="s">
        <v>32</v>
      </c>
      <c r="J459" t="s">
        <v>688</v>
      </c>
      <c r="K459" t="s">
        <v>139</v>
      </c>
      <c r="L459"/>
      <c r="N459" t="s">
        <v>20</v>
      </c>
      <c r="O459" t="s">
        <v>20</v>
      </c>
    </row>
    <row r="460" spans="2:15">
      <c r="B460">
        <v>4</v>
      </c>
      <c r="C460" t="s">
        <v>15</v>
      </c>
      <c r="F460" t="str">
        <f t="shared" si="9"/>
        <v>头孢泊肟酯片</v>
      </c>
      <c r="G460" t="s">
        <v>689</v>
      </c>
      <c r="H460"/>
      <c r="I460" t="s">
        <v>32</v>
      </c>
      <c r="J460" t="s">
        <v>33</v>
      </c>
      <c r="K460" t="s">
        <v>28</v>
      </c>
      <c r="L460"/>
      <c r="N460" t="s">
        <v>20</v>
      </c>
      <c r="O460" t="s">
        <v>20</v>
      </c>
    </row>
    <row r="461" spans="2:15">
      <c r="B461">
        <v>4</v>
      </c>
      <c r="C461" t="s">
        <v>15</v>
      </c>
      <c r="F461" t="str">
        <f t="shared" si="9"/>
        <v>盐酸阿米替林片</v>
      </c>
      <c r="G461" t="s">
        <v>690</v>
      </c>
      <c r="H461"/>
      <c r="I461" t="s">
        <v>32</v>
      </c>
      <c r="J461" t="s">
        <v>108</v>
      </c>
      <c r="K461" t="s">
        <v>28</v>
      </c>
      <c r="L461"/>
      <c r="N461" t="s">
        <v>20</v>
      </c>
      <c r="O461" t="s">
        <v>20</v>
      </c>
    </row>
    <row r="462" spans="2:15">
      <c r="B462">
        <v>2</v>
      </c>
      <c r="C462" t="s">
        <v>36</v>
      </c>
      <c r="F462" t="str">
        <f t="shared" si="9"/>
        <v>银杏酮酯滴丸</v>
      </c>
      <c r="G462" t="s">
        <v>691</v>
      </c>
      <c r="H462"/>
      <c r="I462" t="s">
        <v>598</v>
      </c>
      <c r="J462" t="s">
        <v>692</v>
      </c>
      <c r="K462" t="s">
        <v>28</v>
      </c>
      <c r="L462"/>
      <c r="N462" t="s">
        <v>20</v>
      </c>
      <c r="O462" t="s">
        <v>20</v>
      </c>
    </row>
    <row r="463" spans="2:15">
      <c r="B463">
        <v>4</v>
      </c>
      <c r="C463" t="s">
        <v>15</v>
      </c>
      <c r="F463" t="str">
        <f t="shared" si="9"/>
        <v>银杏叶滴丸</v>
      </c>
      <c r="G463" t="s">
        <v>693</v>
      </c>
      <c r="H463"/>
      <c r="I463" t="s">
        <v>598</v>
      </c>
      <c r="J463" t="s">
        <v>694</v>
      </c>
      <c r="K463" t="s">
        <v>28</v>
      </c>
      <c r="L463"/>
      <c r="N463" t="s">
        <v>20</v>
      </c>
      <c r="O463" t="s">
        <v>20</v>
      </c>
    </row>
    <row r="464" spans="2:15">
      <c r="B464">
        <v>4</v>
      </c>
      <c r="C464" t="s">
        <v>15</v>
      </c>
      <c r="F464" t="str">
        <f t="shared" si="9"/>
        <v>银杏叶片</v>
      </c>
      <c r="G464" t="s">
        <v>695</v>
      </c>
      <c r="H464"/>
      <c r="I464" t="s">
        <v>32</v>
      </c>
      <c r="J464" t="s">
        <v>696</v>
      </c>
      <c r="K464" t="s">
        <v>28</v>
      </c>
      <c r="L464"/>
      <c r="N464" t="s">
        <v>20</v>
      </c>
      <c r="O464" t="s">
        <v>20</v>
      </c>
    </row>
    <row r="465" spans="2:15">
      <c r="B465">
        <v>4</v>
      </c>
      <c r="C465" t="s">
        <v>15</v>
      </c>
      <c r="F465" t="str">
        <f t="shared" si="9"/>
        <v>银杏叶提取物片</v>
      </c>
      <c r="G465" t="s">
        <v>697</v>
      </c>
      <c r="H465"/>
      <c r="I465" t="s">
        <v>32</v>
      </c>
      <c r="J465" t="s">
        <v>52</v>
      </c>
      <c r="K465" t="s">
        <v>28</v>
      </c>
      <c r="L465"/>
      <c r="N465" t="s">
        <v>20</v>
      </c>
      <c r="O465" t="s">
        <v>20</v>
      </c>
    </row>
    <row r="466" spans="2:15">
      <c r="B466">
        <v>2</v>
      </c>
      <c r="C466" t="s">
        <v>36</v>
      </c>
      <c r="F466" t="str">
        <f t="shared" si="9"/>
        <v>吲达帕胺缓释片</v>
      </c>
      <c r="G466" t="s">
        <v>698</v>
      </c>
      <c r="H466"/>
      <c r="I466" t="s">
        <v>32</v>
      </c>
      <c r="J466" t="s">
        <v>699</v>
      </c>
      <c r="K466" t="s">
        <v>28</v>
      </c>
      <c r="L466"/>
      <c r="N466" t="s">
        <v>20</v>
      </c>
      <c r="O466" t="s">
        <v>20</v>
      </c>
    </row>
    <row r="467" spans="2:15">
      <c r="B467">
        <v>2</v>
      </c>
      <c r="C467" t="s">
        <v>36</v>
      </c>
      <c r="F467" t="str">
        <f t="shared" si="9"/>
        <v>吲达帕胺片</v>
      </c>
      <c r="G467" t="s">
        <v>700</v>
      </c>
      <c r="H467"/>
      <c r="I467" t="s">
        <v>32</v>
      </c>
      <c r="J467" t="s">
        <v>106</v>
      </c>
      <c r="K467" t="s">
        <v>28</v>
      </c>
      <c r="L467"/>
      <c r="N467" t="s">
        <v>20</v>
      </c>
      <c r="O467" t="s">
        <v>20</v>
      </c>
    </row>
    <row r="468" spans="2:15">
      <c r="B468">
        <v>4</v>
      </c>
      <c r="C468" t="s">
        <v>15</v>
      </c>
      <c r="F468" t="str">
        <f t="shared" si="9"/>
        <v>蚓激酶肠溶胶囊</v>
      </c>
      <c r="G468" t="s">
        <v>701</v>
      </c>
      <c r="H468"/>
      <c r="I468" t="s">
        <v>22</v>
      </c>
      <c r="J468" t="s">
        <v>702</v>
      </c>
      <c r="K468" t="s">
        <v>139</v>
      </c>
      <c r="L468"/>
      <c r="N468" t="s">
        <v>20</v>
      </c>
      <c r="O468" t="s">
        <v>20</v>
      </c>
    </row>
    <row r="469" spans="2:15">
      <c r="B469">
        <v>1</v>
      </c>
      <c r="C469" t="s">
        <v>25</v>
      </c>
      <c r="F469" t="str">
        <f t="shared" si="9"/>
        <v>玉蓝降糖胶囊</v>
      </c>
      <c r="G469" t="s">
        <v>703</v>
      </c>
      <c r="H469"/>
      <c r="I469" t="s">
        <v>22</v>
      </c>
      <c r="J469" t="s">
        <v>234</v>
      </c>
      <c r="K469" t="s">
        <v>19</v>
      </c>
      <c r="L469"/>
      <c r="N469" t="s">
        <v>20</v>
      </c>
      <c r="O469" t="s">
        <v>20</v>
      </c>
    </row>
    <row r="470" spans="2:15">
      <c r="B470">
        <v>4</v>
      </c>
      <c r="C470" t="s">
        <v>15</v>
      </c>
      <c r="F470" t="str">
        <f t="shared" si="9"/>
        <v>盐酸沙格雷酯片</v>
      </c>
      <c r="G470" t="s">
        <v>704</v>
      </c>
      <c r="H470"/>
      <c r="I470" t="s">
        <v>32</v>
      </c>
      <c r="J470" t="s">
        <v>35</v>
      </c>
      <c r="K470" t="s">
        <v>28</v>
      </c>
      <c r="L470"/>
      <c r="N470" t="s">
        <v>20</v>
      </c>
      <c r="O470" t="s">
        <v>20</v>
      </c>
    </row>
    <row r="471" spans="2:15">
      <c r="B471">
        <v>4</v>
      </c>
      <c r="C471" t="s">
        <v>15</v>
      </c>
      <c r="F471" t="str">
        <f t="shared" si="9"/>
        <v>氟康唑胶囊</v>
      </c>
      <c r="G471" t="s">
        <v>705</v>
      </c>
      <c r="H471"/>
      <c r="I471" t="s">
        <v>22</v>
      </c>
      <c r="J471" t="s">
        <v>179</v>
      </c>
      <c r="K471" t="s">
        <v>19</v>
      </c>
      <c r="L471"/>
      <c r="N471" t="s">
        <v>20</v>
      </c>
      <c r="O471" t="s">
        <v>20</v>
      </c>
    </row>
    <row r="472" spans="2:15">
      <c r="B472">
        <v>4</v>
      </c>
      <c r="C472" t="s">
        <v>15</v>
      </c>
      <c r="F472" t="str">
        <f t="shared" si="9"/>
        <v>长春西汀片</v>
      </c>
      <c r="G472" t="s">
        <v>706</v>
      </c>
      <c r="H472"/>
      <c r="I472" t="s">
        <v>32</v>
      </c>
      <c r="J472" t="s">
        <v>76</v>
      </c>
      <c r="K472" t="s">
        <v>28</v>
      </c>
      <c r="L472"/>
      <c r="N472" t="s">
        <v>20</v>
      </c>
      <c r="O472" t="s">
        <v>20</v>
      </c>
    </row>
    <row r="473" spans="2:15">
      <c r="B473">
        <v>10</v>
      </c>
      <c r="C473" t="s">
        <v>66</v>
      </c>
      <c r="F473" t="str">
        <f t="shared" si="9"/>
        <v>蔗糖铁注射液</v>
      </c>
      <c r="G473" t="s">
        <v>707</v>
      </c>
      <c r="H473"/>
      <c r="I473" t="s">
        <v>137</v>
      </c>
      <c r="J473" t="s">
        <v>708</v>
      </c>
      <c r="K473" t="s">
        <v>417</v>
      </c>
      <c r="L473"/>
      <c r="N473" t="s">
        <v>20</v>
      </c>
      <c r="O473" t="s">
        <v>20</v>
      </c>
    </row>
    <row r="474" spans="2:15">
      <c r="B474">
        <v>3</v>
      </c>
      <c r="C474" t="s">
        <v>59</v>
      </c>
      <c r="F474" t="str">
        <f t="shared" si="9"/>
        <v>脂必泰胶囊</v>
      </c>
      <c r="G474" t="s">
        <v>709</v>
      </c>
      <c r="H474"/>
      <c r="I474" t="s">
        <v>22</v>
      </c>
      <c r="J474" t="s">
        <v>710</v>
      </c>
      <c r="K474" t="s">
        <v>19</v>
      </c>
      <c r="L474"/>
      <c r="N474" t="s">
        <v>20</v>
      </c>
      <c r="O474" t="s">
        <v>20</v>
      </c>
    </row>
    <row r="475" spans="2:15">
      <c r="B475">
        <v>4</v>
      </c>
      <c r="C475" t="s">
        <v>15</v>
      </c>
      <c r="F475" t="str">
        <f t="shared" si="9"/>
        <v>活心丸</v>
      </c>
      <c r="G475" t="s">
        <v>711</v>
      </c>
      <c r="H475"/>
      <c r="I475" t="s">
        <v>598</v>
      </c>
      <c r="J475" t="s">
        <v>570</v>
      </c>
      <c r="K475" t="s">
        <v>28</v>
      </c>
      <c r="L475"/>
      <c r="N475" t="s">
        <v>20</v>
      </c>
      <c r="O475" t="s">
        <v>20</v>
      </c>
    </row>
    <row r="476" spans="2:15">
      <c r="B476">
        <v>4</v>
      </c>
      <c r="C476" t="s">
        <v>15</v>
      </c>
      <c r="F476" t="str">
        <f t="shared" si="9"/>
        <v>吸入用异丙托溴铵溶液</v>
      </c>
      <c r="G476" t="s">
        <v>712</v>
      </c>
      <c r="H476"/>
      <c r="I476" t="s">
        <v>137</v>
      </c>
      <c r="J476" t="s">
        <v>713</v>
      </c>
      <c r="K476" t="s">
        <v>24</v>
      </c>
      <c r="L476"/>
      <c r="N476" t="s">
        <v>20</v>
      </c>
      <c r="O476" t="s">
        <v>20</v>
      </c>
    </row>
    <row r="477" spans="2:15">
      <c r="B477">
        <v>4</v>
      </c>
      <c r="C477" t="s">
        <v>15</v>
      </c>
      <c r="F477" t="str">
        <f t="shared" si="9"/>
        <v>注射用伏立康唑</v>
      </c>
      <c r="G477" t="s">
        <v>714</v>
      </c>
      <c r="H477"/>
      <c r="I477" t="s">
        <v>137</v>
      </c>
      <c r="J477" t="s">
        <v>715</v>
      </c>
      <c r="K477" t="s">
        <v>28</v>
      </c>
      <c r="L477"/>
      <c r="N477" t="s">
        <v>20</v>
      </c>
      <c r="O477" t="s">
        <v>20</v>
      </c>
    </row>
    <row r="478" spans="2:15">
      <c r="B478">
        <v>4</v>
      </c>
      <c r="C478" t="s">
        <v>15</v>
      </c>
      <c r="F478" t="str">
        <f t="shared" si="9"/>
        <v>左甲状腺素钠片</v>
      </c>
      <c r="G478" t="s">
        <v>716</v>
      </c>
      <c r="H478"/>
      <c r="I478" t="s">
        <v>32</v>
      </c>
      <c r="J478" t="s">
        <v>717</v>
      </c>
      <c r="K478" t="s">
        <v>24</v>
      </c>
      <c r="L478"/>
      <c r="N478" t="s">
        <v>20</v>
      </c>
      <c r="O478" t="s">
        <v>20</v>
      </c>
    </row>
    <row r="479" spans="2:15">
      <c r="B479">
        <v>10</v>
      </c>
      <c r="C479" t="s">
        <v>66</v>
      </c>
      <c r="F479" t="str">
        <f t="shared" si="9"/>
        <v>左卡尼汀注射液</v>
      </c>
      <c r="G479" t="s">
        <v>718</v>
      </c>
      <c r="H479"/>
      <c r="I479" t="s">
        <v>137</v>
      </c>
      <c r="J479" t="s">
        <v>719</v>
      </c>
      <c r="K479" t="s">
        <v>19</v>
      </c>
      <c r="L479"/>
      <c r="N479" t="s">
        <v>20</v>
      </c>
      <c r="O479" t="s">
        <v>20</v>
      </c>
    </row>
    <row r="480" spans="2:15">
      <c r="B480">
        <v>4</v>
      </c>
      <c r="C480" t="s">
        <v>15</v>
      </c>
      <c r="F480" t="str">
        <f t="shared" si="9"/>
        <v>左氧氟沙星片</v>
      </c>
      <c r="G480" t="s">
        <v>720</v>
      </c>
      <c r="H480"/>
      <c r="I480" t="s">
        <v>32</v>
      </c>
      <c r="J480" t="s">
        <v>279</v>
      </c>
      <c r="K480" t="s">
        <v>19</v>
      </c>
      <c r="L480"/>
      <c r="N480" t="s">
        <v>20</v>
      </c>
      <c r="O480" t="s">
        <v>20</v>
      </c>
    </row>
    <row r="481" spans="2:15">
      <c r="B481">
        <v>4</v>
      </c>
      <c r="C481" t="s">
        <v>15</v>
      </c>
      <c r="F481" t="str">
        <f t="shared" si="9"/>
        <v>左氧氟沙星片</v>
      </c>
      <c r="G481" t="s">
        <v>720</v>
      </c>
      <c r="H481"/>
      <c r="I481" t="s">
        <v>32</v>
      </c>
      <c r="J481" t="s">
        <v>54</v>
      </c>
      <c r="K481" t="s">
        <v>19</v>
      </c>
      <c r="L481"/>
      <c r="N481" t="s">
        <v>20</v>
      </c>
      <c r="O481" t="s">
        <v>20</v>
      </c>
    </row>
  </sheetData>
  <autoFilter xmlns:etc="http://www.wps.cn/officeDocument/2017/etCustomData" ref="A1:O48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沈捷</cp:lastModifiedBy>
  <dcterms:created xsi:type="dcterms:W3CDTF">2026-09-30T07:52:00Z</dcterms:created>
  <dcterms:modified xsi:type="dcterms:W3CDTF">2026-10-08T02:27:46Z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977225505BE444BEA141A30F60199ED6_12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